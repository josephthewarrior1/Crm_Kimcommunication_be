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2025\CLIENT\INGRAM\IMID 2025\"/>
    </mc:Choice>
  </mc:AlternateContent>
  <xr:revisionPtr revIDLastSave="0" documentId="13_ncr:1_{A3F74217-2920-4DB3-A39E-14A639C2F91A}" xr6:coauthVersionLast="47" xr6:coauthVersionMax="47" xr10:uidLastSave="{00000000-0000-0000-0000-000000000000}"/>
  <bookViews>
    <workbookView xWindow="-120" yWindow="-120" windowWidth="29040" windowHeight="15840" activeTab="1" xr2:uid="{6657043E-C075-493E-83E9-C7CFA49E1D86}"/>
  </bookViews>
  <sheets>
    <sheet name="Shangri-La NO BO" sheetId="3" r:id="rId1"/>
    <sheet name="Ibu Mulia Dewi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H14" i="3"/>
  <c r="B14" i="3"/>
  <c r="B4" i="3"/>
  <c r="A5" i="3" s="1"/>
  <c r="B5" i="3" s="1"/>
  <c r="A6" i="3" s="1"/>
  <c r="B6" i="3" s="1"/>
  <c r="A7" i="3" s="1"/>
  <c r="B7" i="3" s="1"/>
  <c r="A8" i="3" s="1"/>
  <c r="B8" i="3" s="1"/>
  <c r="A9" i="3" s="1"/>
  <c r="B9" i="3" s="1"/>
  <c r="A15" i="3" l="1"/>
  <c r="B15" i="3" s="1"/>
  <c r="A16" i="3" s="1"/>
  <c r="B16" i="3" s="1"/>
  <c r="A17" i="3" s="1"/>
  <c r="B17" i="3" s="1"/>
  <c r="A18" i="3" s="1"/>
  <c r="B18" i="3" s="1"/>
  <c r="A19" i="3" s="1"/>
  <c r="B19" i="3" s="1"/>
  <c r="G20" i="3"/>
  <c r="H20" i="3" s="1"/>
  <c r="A20" i="3"/>
  <c r="B20" i="3" s="1"/>
  <c r="A21" i="3" s="1"/>
  <c r="B21" i="3" s="1"/>
  <c r="A36" i="3"/>
  <c r="B36" i="3" s="1"/>
  <c r="A37" i="3" s="1"/>
  <c r="B37" i="3" s="1"/>
  <c r="A38" i="3" s="1"/>
  <c r="B38" i="3" s="1"/>
  <c r="A39" i="3" s="1"/>
  <c r="B39" i="3" s="1"/>
  <c r="A40" i="3" s="1"/>
  <c r="B40" i="3" s="1"/>
  <c r="A41" i="3" s="1"/>
  <c r="B41" i="3" s="1"/>
  <c r="A42" i="3" s="1"/>
  <c r="B42" i="3" s="1"/>
  <c r="A35" i="3"/>
  <c r="B35" i="3" s="1"/>
  <c r="G21" i="3" l="1"/>
  <c r="H21" i="3" s="1"/>
  <c r="G22" i="3" s="1"/>
  <c r="H22" i="3" s="1"/>
  <c r="G23" i="3" s="1"/>
  <c r="H23" i="3" s="1"/>
  <c r="G24" i="3" s="1"/>
  <c r="H24" i="3" s="1"/>
  <c r="G25" i="3" s="1"/>
  <c r="H25" i="3" s="1"/>
  <c r="G26" i="3" s="1"/>
  <c r="H26" i="3" s="1"/>
  <c r="G27" i="3" s="1"/>
  <c r="H27" i="3" s="1"/>
  <c r="A22" i="3"/>
  <c r="B22" i="3" s="1"/>
  <c r="A23" i="3" l="1"/>
  <c r="B23" i="3" s="1"/>
  <c r="A24" i="3" s="1"/>
  <c r="B24" i="3" s="1"/>
  <c r="A25" i="3"/>
  <c r="B25" i="3" s="1"/>
  <c r="A26" i="3" s="1"/>
  <c r="B26" i="3" s="1"/>
  <c r="A27" i="3" s="1"/>
  <c r="B27" i="3" s="1"/>
</calcChain>
</file>

<file path=xl/sharedStrings.xml><?xml version="1.0" encoding="utf-8"?>
<sst xmlns="http://schemas.openxmlformats.org/spreadsheetml/2006/main" count="93" uniqueCount="80">
  <si>
    <t>Agenda CIO Connet</t>
  </si>
  <si>
    <t>Time</t>
  </si>
  <si>
    <t>Duration</t>
  </si>
  <si>
    <t>Description</t>
  </si>
  <si>
    <t>Registration Open &amp; Breakfast</t>
  </si>
  <si>
    <t xml:space="preserve">Database dari Nastha Reseller </t>
  </si>
  <si>
    <t>MC Opening</t>
  </si>
  <si>
    <t>Jessica</t>
  </si>
  <si>
    <t>Welcoming Speech - Ingram Micro’s Commitment to Empowering Businesses​</t>
  </si>
  <si>
    <t>Ibu Mulia Dewi Karnadi - President Director Ingram Micro Indonesia</t>
  </si>
  <si>
    <t>Talking Point : AI as a Strategic Imperative, Macro Dynamics that Shape AI Adoption​,  Strategic Choices Leaders Must Make &amp; Decide, AI for Sustainable Growth &amp; Innovation​, Interactive Dialogue with CIOs/C-Levels (The Audience)​</t>
  </si>
  <si>
    <t>Pak Indrawan lead the event then melibatkan HPE mengenai trend technology terkini</t>
  </si>
  <si>
    <t xml:space="preserve">Q&amp;A Session + Photo Session </t>
  </si>
  <si>
    <t xml:space="preserve">Lalu APC yang seated di meja depan akan diajak untuk menambahkan/menegaskan mengenai SMART Power yang mendukung Trend terkini   </t>
  </si>
  <si>
    <t xml:space="preserve">CIO naik ke Ballroom untuk Visit Booth bila mau pulang Suvenir dibagikan &amp; minta data nya di Gdrive </t>
  </si>
  <si>
    <t>Agenda Customer Event</t>
  </si>
  <si>
    <t>Agenda Media Option 1</t>
  </si>
  <si>
    <t>Time​</t>
  </si>
  <si>
    <t>Duration​</t>
  </si>
  <si>
    <t>Description​</t>
  </si>
  <si>
    <t>PIC / Speaker</t>
  </si>
  <si>
    <t>Registration &amp; Booth Tour​</t>
  </si>
  <si>
    <t>All</t>
  </si>
  <si>
    <t>media registration - non mandatory</t>
  </si>
  <si>
    <t>VO Robot + efek suara pintu Angkasa terbuka</t>
  </si>
  <si>
    <t xml:space="preserve">Tamu seated </t>
  </si>
  <si>
    <t xml:space="preserve">Video IM Star Series + Permainan Laser - Dewi Keluar </t>
  </si>
  <si>
    <t xml:space="preserve">Room BO </t>
  </si>
  <si>
    <t>Welcome Speech - Strategic Connector of AI and Security for Indonesia’s Digital Future​</t>
  </si>
  <si>
    <t xml:space="preserve">Sesi Keynote 2 - Turning AI Ambition into measurable business impact </t>
  </si>
  <si>
    <t>Indrawan Nugroho</t>
  </si>
  <si>
    <t xml:space="preserve">Panel Discussion &amp; Q&amp;A -  Harnessing AI : The New Blueprint for growth and resilience </t>
  </si>
  <si>
    <t xml:space="preserve">Wisnu Nugroho, Joseph Lembayung, Trellix </t>
  </si>
  <si>
    <t>Building a smarter Enterprise with private cloud AI</t>
  </si>
  <si>
    <t>HPE</t>
  </si>
  <si>
    <t>Registration</t>
  </si>
  <si>
    <t>Maluku Room  - Foyer + Lunch</t>
  </si>
  <si>
    <t xml:space="preserve">Lunch &amp; Booth Tour + Podcast </t>
  </si>
  <si>
    <t xml:space="preserve">Opening </t>
  </si>
  <si>
    <t>Bem</t>
  </si>
  <si>
    <t xml:space="preserve">GIFT </t>
  </si>
  <si>
    <t>??</t>
  </si>
  <si>
    <t>Welcoming Speech - Ingram Micro’s 
Commitment to Empowering Businesses</t>
  </si>
  <si>
    <t>M. Dewi Karnadi</t>
  </si>
  <si>
    <t>Powering Intelligent Growth with resilient Infrastructure</t>
  </si>
  <si>
    <t>APC Scheneider</t>
  </si>
  <si>
    <t>Del University Testimony - The Imperative of Intelligent Growth: Key Summary​</t>
  </si>
  <si>
    <t xml:space="preserve">Dr. Arnaldo marulitua sinaga - Rektor Del Univercity </t>
  </si>
  <si>
    <t>Smarter Technology empowering AI Everywhere</t>
  </si>
  <si>
    <t>Lenovo</t>
  </si>
  <si>
    <t>HPE PC AI sebagai Solution Product ?? Fanny ngarang</t>
  </si>
  <si>
    <t xml:space="preserve">HPE </t>
  </si>
  <si>
    <t>Gold</t>
  </si>
  <si>
    <t>Redhat</t>
  </si>
  <si>
    <t> About the Local Market, EPSINDO’s partnership commitment to deliver solutions for the Indonesian market.​</t>
  </si>
  <si>
    <t>Epsindo - TBC</t>
  </si>
  <si>
    <t>Doorprize : Syarat harus sudah keliling semua BBooth  + Photo Session</t>
  </si>
  <si>
    <t>MC</t>
  </si>
  <si>
    <t>Q&amp;A Session</t>
  </si>
  <si>
    <t xml:space="preserve">Closing &amp; Coffee Break  + Booth Tour </t>
  </si>
  <si>
    <t>Closing - Photo &amp; Booth Tour</t>
  </si>
  <si>
    <t>Naik ke atas BallRoom</t>
  </si>
  <si>
    <t>Agenda Partner Event</t>
  </si>
  <si>
    <t xml:space="preserve">Registration,  Photobooth + Glamboth &amp; Humanoid + Ipad </t>
  </si>
  <si>
    <t xml:space="preserve">Foyer : Dinner Buffet , Networking </t>
  </si>
  <si>
    <t>Leaders in arow 5 men : Henrik, Rio, Justin, JT , Hotland &amp; Female : Mira, Liah, Cia</t>
  </si>
  <si>
    <t>Welcoming Speech (bu Dewi muncul dr Tengah saat LED terbuka *dengan efek motion LED “Future Tech”)</t>
  </si>
  <si>
    <t xml:space="preserve">MC Opening &amp; Bridiging to Awarding </t>
  </si>
  <si>
    <t>Awarding ​7*5menit</t>
  </si>
  <si>
    <t xml:space="preserve">Awarding Video </t>
  </si>
  <si>
    <t>MC - Games &amp; LED Games -  Dance</t>
  </si>
  <si>
    <t xml:space="preserve">Awarding 6 *5 mt </t>
  </si>
  <si>
    <t>Doorprize (Spin wheel digital di LED screen)​</t>
  </si>
  <si>
    <t>MC Closing &amp; Photo Session</t>
  </si>
  <si>
    <t xml:space="preserve">Flow Agenda Ibu Mulia Dewi Karnadi </t>
  </si>
  <si>
    <t>Event</t>
  </si>
  <si>
    <t>CIO</t>
  </si>
  <si>
    <t>Customer</t>
  </si>
  <si>
    <t xml:space="preserve">Media 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</si>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</sst>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</font>
    <font>
      <sz val="11"/>
      <color rgb="FF242424"/>
      <name val="Arial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20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0" xfId="0" quotePrefix="1" applyFont="1" applyFill="1" applyAlignment="1">
      <alignment vertical="center"/>
    </xf>
    <xf numFmtId="20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20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20" fontId="1" fillId="3" borderId="2" xfId="0" applyNumberFormat="1" applyFont="1" applyFill="1" applyBorder="1" applyAlignment="1">
      <alignment horizontal="center" vertical="center"/>
    </xf>
    <xf numFmtId="20" fontId="1" fillId="3" borderId="12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20" fontId="1" fillId="4" borderId="1" xfId="0" applyNumberFormat="1" applyFont="1" applyFill="1" applyBorder="1" applyAlignment="1">
      <alignment horizontal="center" vertical="center"/>
    </xf>
    <xf numFmtId="20" fontId="1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wrapText="1"/>
    </xf>
    <xf numFmtId="20" fontId="1" fillId="3" borderId="6" xfId="0" applyNumberFormat="1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20" fontId="3" fillId="3" borderId="1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20" fontId="1" fillId="3" borderId="4" xfId="0" applyNumberFormat="1" applyFont="1" applyFill="1" applyBorder="1" applyAlignment="1">
      <alignment horizontal="center" vertical="center" wrapText="1"/>
    </xf>
    <xf numFmtId="20" fontId="1" fillId="5" borderId="4" xfId="0" applyNumberFormat="1" applyFont="1" applyFill="1" applyBorder="1" applyAlignment="1">
      <alignment vertical="center" wrapText="1"/>
    </xf>
    <xf numFmtId="20" fontId="1" fillId="3" borderId="1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vertical="top" wrapText="1"/>
    </xf>
    <xf numFmtId="20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20" fontId="3" fillId="3" borderId="13" xfId="0" applyNumberFormat="1" applyFont="1" applyFill="1" applyBorder="1" applyAlignment="1">
      <alignment horizontal="center" vertical="center"/>
    </xf>
    <xf numFmtId="20" fontId="3" fillId="3" borderId="6" xfId="0" applyNumberFormat="1" applyFont="1" applyFill="1" applyBorder="1" applyAlignment="1">
      <alignment horizontal="center" vertical="center" wrapText="1"/>
    </xf>
    <xf numFmtId="20" fontId="3" fillId="3" borderId="2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20" fontId="1" fillId="3" borderId="17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0" fontId="1" fillId="3" borderId="6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D33-C20E-4369-B0BC-0987B5D17883}">
  <dimension ref="A2:L43"/>
  <sheetViews>
    <sheetView zoomScaleNormal="100" workbookViewId="0">
      <selection activeCell="D7" sqref="D7"/>
    </sheetView>
  </sheetViews>
  <sheetFormatPr defaultRowHeight="15.75" customHeight="1" x14ac:dyDescent="0.25"/>
  <cols>
    <col min="1" max="1" width="9.140625" style="4"/>
    <col min="2" max="2" width="11.85546875" style="4" customWidth="1"/>
    <col min="3" max="3" width="9.42578125" style="4" customWidth="1"/>
    <col min="4" max="4" width="59.85546875" style="4" customWidth="1"/>
    <col min="5" max="5" width="46" style="6" customWidth="1"/>
    <col min="6" max="6" width="5.7109375" style="4" customWidth="1"/>
    <col min="7" max="7" width="11.28515625" style="4" customWidth="1"/>
    <col min="8" max="8" width="13.5703125" style="4" customWidth="1"/>
    <col min="9" max="9" width="9.85546875" style="4" customWidth="1"/>
    <col min="10" max="10" width="48.7109375" style="4" customWidth="1"/>
    <col min="11" max="11" width="48.42578125" style="4" customWidth="1"/>
    <col min="12" max="12" width="7.28515625" style="4" customWidth="1"/>
    <col min="13" max="13" width="9.140625" style="4" customWidth="1"/>
    <col min="14" max="16384" width="9.140625" style="4"/>
  </cols>
  <sheetData>
    <row r="2" spans="1:12" ht="15.75" customHeight="1" x14ac:dyDescent="0.25">
      <c r="A2" s="3" t="s">
        <v>0</v>
      </c>
    </row>
    <row r="3" spans="1:12" s="3" customFormat="1" ht="15.75" customHeight="1" x14ac:dyDescent="0.25">
      <c r="A3" s="64" t="s">
        <v>1</v>
      </c>
      <c r="B3" s="64"/>
      <c r="C3" s="2" t="s">
        <v>2</v>
      </c>
      <c r="D3" s="65" t="s">
        <v>3</v>
      </c>
      <c r="E3" s="66"/>
    </row>
    <row r="4" spans="1:12" ht="15.75" customHeight="1" x14ac:dyDescent="0.25">
      <c r="A4" s="5">
        <v>0.33333333333333331</v>
      </c>
      <c r="B4" s="5">
        <f t="shared" ref="B4:B9" si="0">A4+C4</f>
        <v>0.375</v>
      </c>
      <c r="C4" s="5">
        <v>4.1666666666666664E-2</v>
      </c>
      <c r="D4" s="8" t="s">
        <v>4</v>
      </c>
      <c r="E4" s="5" t="s">
        <v>5</v>
      </c>
    </row>
    <row r="5" spans="1:12" ht="15.75" customHeight="1" x14ac:dyDescent="0.25">
      <c r="A5" s="5">
        <f>B4</f>
        <v>0.375</v>
      </c>
      <c r="B5" s="5">
        <f t="shared" si="0"/>
        <v>0.37847222222222221</v>
      </c>
      <c r="C5" s="5">
        <v>3.472222222222222E-3</v>
      </c>
      <c r="D5" s="9" t="s">
        <v>6</v>
      </c>
      <c r="E5" s="21" t="s">
        <v>7</v>
      </c>
    </row>
    <row r="6" spans="1:12" ht="29.25" customHeight="1" x14ac:dyDescent="0.25">
      <c r="A6" s="5">
        <f>B5</f>
        <v>0.37847222222222221</v>
      </c>
      <c r="B6" s="5">
        <f t="shared" si="0"/>
        <v>0.38541666666666663</v>
      </c>
      <c r="C6" s="5">
        <v>6.9444444444444441E-3</v>
      </c>
      <c r="D6" s="8" t="s">
        <v>8</v>
      </c>
      <c r="E6" s="13" t="s">
        <v>9</v>
      </c>
    </row>
    <row r="7" spans="1:12" ht="66" customHeight="1" x14ac:dyDescent="0.25">
      <c r="A7" s="5">
        <f>B6</f>
        <v>0.38541666666666663</v>
      </c>
      <c r="B7" s="5">
        <f t="shared" si="0"/>
        <v>0.40624999999999994</v>
      </c>
      <c r="C7" s="5">
        <v>2.0833333333333332E-2</v>
      </c>
      <c r="D7" s="8" t="s">
        <v>10</v>
      </c>
      <c r="E7" s="36" t="s">
        <v>11</v>
      </c>
    </row>
    <row r="8" spans="1:12" ht="53.25" customHeight="1" x14ac:dyDescent="0.25">
      <c r="A8" s="5">
        <f>B7</f>
        <v>0.40624999999999994</v>
      </c>
      <c r="B8" s="5">
        <f t="shared" si="0"/>
        <v>0.41319444444444436</v>
      </c>
      <c r="C8" s="5">
        <v>6.9444444444444441E-3</v>
      </c>
      <c r="D8" s="30" t="s">
        <v>12</v>
      </c>
      <c r="E8" s="38" t="s">
        <v>13</v>
      </c>
    </row>
    <row r="9" spans="1:12" ht="30.75" customHeight="1" x14ac:dyDescent="0.25">
      <c r="A9" s="21">
        <f t="shared" ref="A9" si="1">B8</f>
        <v>0.41319444444444436</v>
      </c>
      <c r="B9" s="21">
        <f t="shared" si="0"/>
        <v>0.41666666666666657</v>
      </c>
      <c r="C9" s="21">
        <v>3.472222222222222E-3</v>
      </c>
      <c r="D9" s="70" t="s">
        <v>14</v>
      </c>
      <c r="E9" s="71"/>
    </row>
    <row r="10" spans="1:12" ht="15.75" customHeight="1" x14ac:dyDescent="0.25">
      <c r="A10" s="11"/>
      <c r="B10" s="11"/>
      <c r="C10" s="11"/>
      <c r="D10" s="11"/>
    </row>
    <row r="12" spans="1:12" ht="15.75" customHeight="1" x14ac:dyDescent="0.25">
      <c r="A12" s="3" t="s">
        <v>15</v>
      </c>
      <c r="G12" s="3" t="s">
        <v>16</v>
      </c>
      <c r="K12" s="6"/>
    </row>
    <row r="13" spans="1:12" ht="26.1" customHeight="1" x14ac:dyDescent="0.25">
      <c r="A13" s="67" t="s">
        <v>17</v>
      </c>
      <c r="B13" s="67"/>
      <c r="C13" s="23" t="s">
        <v>18</v>
      </c>
      <c r="D13" s="27" t="s">
        <v>19</v>
      </c>
      <c r="E13" s="27" t="s">
        <v>20</v>
      </c>
      <c r="G13" s="72" t="s">
        <v>1</v>
      </c>
      <c r="H13" s="73"/>
      <c r="I13" s="14" t="s">
        <v>2</v>
      </c>
      <c r="J13" s="68" t="s">
        <v>3</v>
      </c>
      <c r="K13" s="69"/>
      <c r="L13" s="6"/>
    </row>
    <row r="14" spans="1:12" ht="26.1" customHeight="1" x14ac:dyDescent="0.25">
      <c r="A14" s="22">
        <v>0.375</v>
      </c>
      <c r="B14" s="22">
        <f>A14+C14</f>
        <v>0.41666666666666669</v>
      </c>
      <c r="C14" s="22">
        <v>4.1666666666666664E-2</v>
      </c>
      <c r="D14" s="51" t="s">
        <v>21</v>
      </c>
      <c r="E14" s="25" t="s">
        <v>22</v>
      </c>
      <c r="G14" s="61">
        <v>0.39583333333333331</v>
      </c>
      <c r="H14" s="61">
        <f t="shared" ref="H14" si="2">G14+I14</f>
        <v>0.47916666666666663</v>
      </c>
      <c r="I14" s="61">
        <v>8.3333333333333329E-2</v>
      </c>
      <c r="J14" s="61"/>
      <c r="K14" s="62" t="s">
        <v>23</v>
      </c>
    </row>
    <row r="15" spans="1:12" ht="26.1" customHeight="1" x14ac:dyDescent="0.25">
      <c r="A15" s="22">
        <f>B14</f>
        <v>0.41666666666666669</v>
      </c>
      <c r="B15" s="22">
        <f>A15+C15</f>
        <v>0.4201388888888889</v>
      </c>
      <c r="C15" s="22">
        <v>3.472222222222222E-3</v>
      </c>
      <c r="D15" s="24" t="s">
        <v>24</v>
      </c>
      <c r="E15" s="25" t="s">
        <v>25</v>
      </c>
      <c r="G15" s="61"/>
      <c r="H15" s="61"/>
      <c r="I15" s="61"/>
      <c r="J15" s="61"/>
      <c r="K15" s="62"/>
    </row>
    <row r="16" spans="1:12" ht="26.1" customHeight="1" x14ac:dyDescent="0.25">
      <c r="A16" s="22">
        <f>B15</f>
        <v>0.4201388888888889</v>
      </c>
      <c r="B16" s="22">
        <f>A16+C16</f>
        <v>0.42708333333333331</v>
      </c>
      <c r="C16" s="22">
        <v>6.9444444444444441E-3</v>
      </c>
      <c r="D16" s="24" t="s">
        <v>26</v>
      </c>
      <c r="E16" s="25" t="s">
        <v>27</v>
      </c>
      <c r="G16" s="61"/>
      <c r="H16" s="61"/>
      <c r="I16" s="61"/>
      <c r="J16" s="61"/>
      <c r="K16" s="62"/>
    </row>
    <row r="17" spans="1:11" ht="41.25" customHeight="1" x14ac:dyDescent="0.25">
      <c r="A17" s="22">
        <f>B16</f>
        <v>0.42708333333333331</v>
      </c>
      <c r="B17" s="22">
        <f>A17+C17</f>
        <v>0.4375</v>
      </c>
      <c r="C17" s="22">
        <v>1.0416666666666666E-2</v>
      </c>
      <c r="D17" s="24" t="s">
        <v>28</v>
      </c>
      <c r="E17" s="26" t="s">
        <v>9</v>
      </c>
      <c r="F17" s="10"/>
      <c r="G17" s="61"/>
      <c r="H17" s="61"/>
      <c r="I17" s="61"/>
      <c r="J17" s="61"/>
      <c r="K17" s="62"/>
    </row>
    <row r="18" spans="1:11" ht="26.1" customHeight="1" x14ac:dyDescent="0.25">
      <c r="A18" s="22">
        <f t="shared" ref="A18:A19" si="3">B17</f>
        <v>0.4375</v>
      </c>
      <c r="B18" s="22">
        <f t="shared" ref="B18:B21" si="4">A18+C18</f>
        <v>0.45833333333333331</v>
      </c>
      <c r="C18" s="22">
        <v>2.0833333333333332E-2</v>
      </c>
      <c r="D18" s="24" t="s">
        <v>29</v>
      </c>
      <c r="E18" s="25" t="s">
        <v>30</v>
      </c>
      <c r="F18" s="10"/>
      <c r="G18" s="61"/>
      <c r="H18" s="61"/>
      <c r="I18" s="61"/>
      <c r="J18" s="61"/>
      <c r="K18" s="62"/>
    </row>
    <row r="19" spans="1:11" ht="45.75" customHeight="1" x14ac:dyDescent="0.25">
      <c r="A19" s="22">
        <f t="shared" si="3"/>
        <v>0.45833333333333331</v>
      </c>
      <c r="B19" s="22">
        <f t="shared" si="4"/>
        <v>0.49305555555555552</v>
      </c>
      <c r="C19" s="22">
        <v>3.4722222222222224E-2</v>
      </c>
      <c r="D19" s="24" t="s">
        <v>31</v>
      </c>
      <c r="E19" s="26" t="s">
        <v>32</v>
      </c>
      <c r="F19" s="10"/>
      <c r="G19" s="61"/>
      <c r="H19" s="61"/>
      <c r="I19" s="61"/>
      <c r="J19" s="61"/>
      <c r="K19" s="63"/>
    </row>
    <row r="20" spans="1:11" ht="26.1" customHeight="1" x14ac:dyDescent="0.25">
      <c r="A20" s="22">
        <f>B19</f>
        <v>0.49305555555555552</v>
      </c>
      <c r="B20" s="22">
        <f>A20+C20</f>
        <v>0.50694444444444442</v>
      </c>
      <c r="C20" s="22">
        <v>1.3888888888888888E-2</v>
      </c>
      <c r="D20" s="24" t="s">
        <v>33</v>
      </c>
      <c r="E20" s="32" t="s">
        <v>34</v>
      </c>
      <c r="F20" s="10"/>
      <c r="G20" s="15">
        <f>H14</f>
        <v>0.47916666666666663</v>
      </c>
      <c r="H20" s="15">
        <f t="shared" ref="H20:H26" si="5">G20+I20</f>
        <v>0.54166666666666663</v>
      </c>
      <c r="I20" s="15">
        <v>6.25E-2</v>
      </c>
      <c r="J20" s="53" t="s">
        <v>35</v>
      </c>
      <c r="K20" s="20" t="s">
        <v>36</v>
      </c>
    </row>
    <row r="21" spans="1:11" ht="26.1" customHeight="1" x14ac:dyDescent="0.25">
      <c r="A21" s="22">
        <f>B20</f>
        <v>0.50694444444444442</v>
      </c>
      <c r="B21" s="22">
        <f t="shared" si="4"/>
        <v>0.54861111111111105</v>
      </c>
      <c r="C21" s="22">
        <v>4.1666666666666664E-2</v>
      </c>
      <c r="D21" s="51" t="s">
        <v>37</v>
      </c>
      <c r="E21" s="55" t="s">
        <v>22</v>
      </c>
      <c r="G21" s="39">
        <f t="shared" ref="G21:G27" si="6">H20</f>
        <v>0.54166666666666663</v>
      </c>
      <c r="H21" s="39">
        <f t="shared" si="5"/>
        <v>0.54861111111111105</v>
      </c>
      <c r="I21" s="41">
        <v>6.9444444444444441E-3</v>
      </c>
      <c r="J21" s="40" t="s">
        <v>38</v>
      </c>
      <c r="K21" s="54" t="s">
        <v>39</v>
      </c>
    </row>
    <row r="22" spans="1:11" ht="48" customHeight="1" x14ac:dyDescent="0.25">
      <c r="A22" s="22">
        <f>B21</f>
        <v>0.54861111111111105</v>
      </c>
      <c r="B22" s="22">
        <f>A22+C22</f>
        <v>0.55208333333333326</v>
      </c>
      <c r="C22" s="22">
        <v>3.472222222222222E-3</v>
      </c>
      <c r="D22" s="4" t="s">
        <v>40</v>
      </c>
      <c r="E22" s="20" t="s">
        <v>41</v>
      </c>
      <c r="F22" s="10"/>
      <c r="G22" s="39">
        <f t="shared" si="6"/>
        <v>0.54861111111111105</v>
      </c>
      <c r="H22" s="39">
        <f t="shared" si="5"/>
        <v>0.55555555555555547</v>
      </c>
      <c r="I22" s="41">
        <v>6.9444444444444441E-3</v>
      </c>
      <c r="J22" s="55" t="s">
        <v>42</v>
      </c>
      <c r="K22" s="44" t="s">
        <v>43</v>
      </c>
    </row>
    <row r="23" spans="1:11" ht="36.75" customHeight="1" x14ac:dyDescent="0.25">
      <c r="A23" s="22">
        <f>B22</f>
        <v>0.55208333333333326</v>
      </c>
      <c r="B23" s="22">
        <f t="shared" ref="B23:B27" si="7">A23+C23</f>
        <v>0.5659722222222221</v>
      </c>
      <c r="C23" s="22">
        <v>1.3888888888888888E-2</v>
      </c>
      <c r="D23" s="24" t="s">
        <v>44</v>
      </c>
      <c r="E23" s="56" t="s">
        <v>45</v>
      </c>
      <c r="F23" s="10"/>
      <c r="G23" s="39">
        <f t="shared" si="6"/>
        <v>0.55555555555555547</v>
      </c>
      <c r="H23" s="39">
        <f t="shared" si="5"/>
        <v>0.57638888888888884</v>
      </c>
      <c r="I23" s="41">
        <v>2.0833333333333332E-2</v>
      </c>
      <c r="J23" s="57" t="s">
        <v>46</v>
      </c>
      <c r="K23" s="42" t="s">
        <v>47</v>
      </c>
    </row>
    <row r="24" spans="1:11" ht="34.5" customHeight="1" x14ac:dyDescent="0.25">
      <c r="A24" s="22">
        <f t="shared" ref="A24:A27" si="8">B23</f>
        <v>0.5659722222222221</v>
      </c>
      <c r="B24" s="22">
        <f t="shared" si="7"/>
        <v>0.57986111111111094</v>
      </c>
      <c r="C24" s="22">
        <v>1.3888888888888888E-2</v>
      </c>
      <c r="D24" s="24" t="s">
        <v>48</v>
      </c>
      <c r="E24" s="19" t="s">
        <v>49</v>
      </c>
      <c r="F24" s="10"/>
      <c r="G24" s="33">
        <f t="shared" si="6"/>
        <v>0.57638888888888884</v>
      </c>
      <c r="H24" s="33">
        <f t="shared" si="5"/>
        <v>0.58680555555555547</v>
      </c>
      <c r="I24" s="43">
        <v>1.0416666666666666E-2</v>
      </c>
      <c r="J24" s="58" t="s">
        <v>50</v>
      </c>
      <c r="K24" s="20" t="s">
        <v>51</v>
      </c>
    </row>
    <row r="25" spans="1:11" ht="41.25" customHeight="1" x14ac:dyDescent="0.25">
      <c r="A25" s="22">
        <f>B24</f>
        <v>0.57986111111111094</v>
      </c>
      <c r="B25" s="22">
        <f>A25+C25</f>
        <v>0.59027777777777757</v>
      </c>
      <c r="C25" s="22">
        <v>1.0416666666666666E-2</v>
      </c>
      <c r="D25" s="19" t="s">
        <v>52</v>
      </c>
      <c r="E25" s="19" t="s">
        <v>53</v>
      </c>
      <c r="G25" s="5">
        <f t="shared" si="6"/>
        <v>0.58680555555555547</v>
      </c>
      <c r="H25" s="5">
        <f t="shared" si="5"/>
        <v>0.5972222222222221</v>
      </c>
      <c r="I25" s="17">
        <v>1.0416666666666666E-2</v>
      </c>
      <c r="J25" s="47" t="s">
        <v>54</v>
      </c>
      <c r="K25" s="19" t="s">
        <v>55</v>
      </c>
    </row>
    <row r="26" spans="1:11" ht="26.1" customHeight="1" x14ac:dyDescent="0.25">
      <c r="A26" s="22">
        <f>B25</f>
        <v>0.59027777777777757</v>
      </c>
      <c r="B26" s="22">
        <f t="shared" si="7"/>
        <v>0.59722222222222199</v>
      </c>
      <c r="C26" s="22">
        <v>6.9444444444444441E-3</v>
      </c>
      <c r="D26" s="50" t="s">
        <v>56</v>
      </c>
      <c r="E26" s="19" t="s">
        <v>57</v>
      </c>
      <c r="G26" s="5">
        <f t="shared" si="6"/>
        <v>0.5972222222222221</v>
      </c>
      <c r="H26" s="5">
        <f t="shared" si="5"/>
        <v>0.61111111111111094</v>
      </c>
      <c r="I26" s="17">
        <v>1.3888888888888888E-2</v>
      </c>
      <c r="J26" s="45" t="s">
        <v>58</v>
      </c>
      <c r="K26" s="46"/>
    </row>
    <row r="27" spans="1:11" ht="26.1" customHeight="1" x14ac:dyDescent="0.25">
      <c r="A27" s="22">
        <f t="shared" si="8"/>
        <v>0.59722222222222199</v>
      </c>
      <c r="B27" s="22">
        <f t="shared" si="7"/>
        <v>0.60416666666666641</v>
      </c>
      <c r="C27" s="18">
        <v>6.9444444444444441E-3</v>
      </c>
      <c r="D27" s="52" t="s">
        <v>59</v>
      </c>
      <c r="E27" s="49" t="s">
        <v>57</v>
      </c>
      <c r="G27" s="21">
        <f t="shared" si="6"/>
        <v>0.61111111111111094</v>
      </c>
      <c r="H27" s="21">
        <f t="shared" ref="H27" si="9">G27+I27</f>
        <v>0.63194444444444431</v>
      </c>
      <c r="I27" s="21">
        <v>2.0833333333333332E-2</v>
      </c>
      <c r="J27" s="48" t="s">
        <v>60</v>
      </c>
      <c r="K27" s="34" t="s">
        <v>61</v>
      </c>
    </row>
    <row r="28" spans="1:11" ht="26.1" customHeight="1" x14ac:dyDescent="0.25">
      <c r="G28" s="11"/>
      <c r="H28" s="11"/>
      <c r="I28" s="11"/>
      <c r="J28" s="11"/>
    </row>
    <row r="29" spans="1:11" ht="15.75" customHeight="1" x14ac:dyDescent="0.25">
      <c r="E29" s="4"/>
    </row>
    <row r="30" spans="1:11" ht="15.75" customHeight="1" x14ac:dyDescent="0.25">
      <c r="A30" s="11"/>
      <c r="B30" s="11"/>
      <c r="C30" s="11"/>
      <c r="D30" s="11"/>
      <c r="E30" s="12"/>
    </row>
    <row r="32" spans="1:11" ht="15.75" customHeight="1" x14ac:dyDescent="0.25">
      <c r="A32" s="3" t="s">
        <v>62</v>
      </c>
    </row>
    <row r="33" spans="1:5" ht="15.75" customHeight="1" x14ac:dyDescent="0.25">
      <c r="A33" s="59" t="s">
        <v>17</v>
      </c>
      <c r="B33" s="60"/>
      <c r="C33" s="1" t="s">
        <v>18</v>
      </c>
      <c r="D33" s="7" t="s">
        <v>19</v>
      </c>
      <c r="E33" s="31" t="s">
        <v>20</v>
      </c>
    </row>
    <row r="34" spans="1:5" ht="35.25" customHeight="1" x14ac:dyDescent="0.25">
      <c r="A34" s="5">
        <v>0.72916666666666663</v>
      </c>
      <c r="B34" s="5">
        <f>A34+C34</f>
        <v>0.79166666666666663</v>
      </c>
      <c r="C34" s="5">
        <v>6.25E-2</v>
      </c>
      <c r="D34" s="28" t="s">
        <v>63</v>
      </c>
      <c r="E34" s="8" t="s">
        <v>64</v>
      </c>
    </row>
    <row r="35" spans="1:5" ht="28.5" x14ac:dyDescent="0.25">
      <c r="A35" s="5">
        <f>B34</f>
        <v>0.79166666666666663</v>
      </c>
      <c r="B35" s="5">
        <f>A35+C35</f>
        <v>0.79861111111111105</v>
      </c>
      <c r="C35" s="5">
        <v>6.9444444444444441E-3</v>
      </c>
      <c r="D35" s="29" t="s">
        <v>26</v>
      </c>
      <c r="E35" s="8" t="s">
        <v>65</v>
      </c>
    </row>
    <row r="36" spans="1:5" ht="28.5" x14ac:dyDescent="0.25">
      <c r="A36" s="5">
        <f>B34</f>
        <v>0.79166666666666663</v>
      </c>
      <c r="B36" s="5">
        <f t="shared" ref="B36:B42" si="10">A36+C36</f>
        <v>0.80208333333333326</v>
      </c>
      <c r="C36" s="5">
        <v>1.0416666666666666E-2</v>
      </c>
      <c r="D36" s="30" t="s">
        <v>66</v>
      </c>
      <c r="E36" s="35" t="s">
        <v>9</v>
      </c>
    </row>
    <row r="37" spans="1:5" ht="14.25" x14ac:dyDescent="0.25">
      <c r="A37" s="5">
        <f t="shared" ref="A37:A42" si="11">B36</f>
        <v>0.80208333333333326</v>
      </c>
      <c r="B37" s="5">
        <f t="shared" si="10"/>
        <v>0.80902777777777768</v>
      </c>
      <c r="C37" s="5">
        <v>6.9444444444444441E-3</v>
      </c>
      <c r="D37" s="4" t="s">
        <v>67</v>
      </c>
      <c r="E37" s="20"/>
    </row>
    <row r="38" spans="1:5" ht="14.25" x14ac:dyDescent="0.25">
      <c r="A38" s="5">
        <f t="shared" si="11"/>
        <v>0.80902777777777768</v>
      </c>
      <c r="B38" s="5">
        <f t="shared" si="10"/>
        <v>0.83680555555555547</v>
      </c>
      <c r="C38" s="5">
        <v>2.7777777777777776E-2</v>
      </c>
      <c r="D38" s="30" t="s">
        <v>68</v>
      </c>
      <c r="E38" s="16" t="s">
        <v>69</v>
      </c>
    </row>
    <row r="39" spans="1:5" ht="14.25" x14ac:dyDescent="0.25">
      <c r="A39" s="5">
        <f t="shared" si="11"/>
        <v>0.83680555555555547</v>
      </c>
      <c r="B39" s="5">
        <f t="shared" si="10"/>
        <v>0.85069444444444431</v>
      </c>
      <c r="C39" s="5">
        <v>1.3888888888888888E-2</v>
      </c>
      <c r="D39" s="30" t="s">
        <v>70</v>
      </c>
      <c r="E39" s="8"/>
    </row>
    <row r="40" spans="1:5" ht="14.25" x14ac:dyDescent="0.25">
      <c r="A40" s="5">
        <f t="shared" si="11"/>
        <v>0.85069444444444431</v>
      </c>
      <c r="B40" s="5">
        <f t="shared" si="10"/>
        <v>0.87152777777777768</v>
      </c>
      <c r="C40" s="5">
        <v>2.0833333333333332E-2</v>
      </c>
      <c r="D40" s="30" t="s">
        <v>71</v>
      </c>
      <c r="E40" s="8"/>
    </row>
    <row r="41" spans="1:5" ht="14.25" x14ac:dyDescent="0.25">
      <c r="A41" s="5">
        <f t="shared" si="11"/>
        <v>0.87152777777777768</v>
      </c>
      <c r="B41" s="5">
        <f t="shared" si="10"/>
        <v>0.8784722222222221</v>
      </c>
      <c r="C41" s="5">
        <v>6.9444444444444441E-3</v>
      </c>
      <c r="D41" s="30" t="s">
        <v>72</v>
      </c>
      <c r="E41" s="8"/>
    </row>
    <row r="42" spans="1:5" ht="14.25" x14ac:dyDescent="0.25">
      <c r="A42" s="5">
        <f t="shared" si="11"/>
        <v>0.8784722222222221</v>
      </c>
      <c r="B42" s="5">
        <f t="shared" si="10"/>
        <v>0.88541666666666652</v>
      </c>
      <c r="C42" s="5">
        <v>6.9444444444444441E-3</v>
      </c>
      <c r="D42" s="30" t="s">
        <v>73</v>
      </c>
      <c r="E42" s="8"/>
    </row>
    <row r="43" spans="1:5" ht="15.75" customHeight="1" x14ac:dyDescent="0.25">
      <c r="E43" s="4"/>
    </row>
  </sheetData>
  <mergeCells count="12">
    <mergeCell ref="K14:K19"/>
    <mergeCell ref="A3:B3"/>
    <mergeCell ref="D3:E3"/>
    <mergeCell ref="A13:B13"/>
    <mergeCell ref="J13:K13"/>
    <mergeCell ref="D9:E9"/>
    <mergeCell ref="G13:H13"/>
    <mergeCell ref="A33:B33"/>
    <mergeCell ref="G14:G19"/>
    <mergeCell ref="H14:H19"/>
    <mergeCell ref="I14:I19"/>
    <mergeCell ref="J14:J1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79E3-E46D-4BFD-9AF6-51D54486A5A5}">
  <dimension ref="A1:C6"/>
  <sheetViews>
    <sheetView tabSelected="1" workbookViewId="0">
      <selection activeCell="C16" sqref="C16"/>
    </sheetView>
  </sheetViews>
  <sheetFormatPr defaultRowHeight="15" x14ac:dyDescent="0.25"/>
  <cols>
    <col min="3" max="3" width="46.28515625" customWidth="1"/>
  </cols>
  <sheetData>
    <row r="1" spans="1:3" x14ac:dyDescent="0.25">
      <c r="A1" s="3" t="s">
        <v>74</v>
      </c>
      <c r="B1" s="4"/>
      <c r="C1" s="6"/>
    </row>
    <row r="2" spans="1:3" x14ac:dyDescent="0.25">
      <c r="A2" s="64" t="s">
        <v>1</v>
      </c>
      <c r="B2" s="64"/>
      <c r="C2" s="7" t="s">
        <v>75</v>
      </c>
    </row>
    <row r="3" spans="1:3" x14ac:dyDescent="0.25">
      <c r="A3" s="5">
        <v>0.33333333333333331</v>
      </c>
      <c r="B3" s="5">
        <v>0.39583333333333331</v>
      </c>
      <c r="C3" s="8" t="s">
        <v>76</v>
      </c>
    </row>
    <row r="4" spans="1:3" x14ac:dyDescent="0.25">
      <c r="A4" s="5">
        <v>0.41666666666666669</v>
      </c>
      <c r="B4" s="5">
        <v>0.4375</v>
      </c>
      <c r="C4" s="8" t="s">
        <v>77</v>
      </c>
    </row>
    <row r="5" spans="1:3" x14ac:dyDescent="0.25">
      <c r="A5" s="5">
        <v>0.5</v>
      </c>
      <c r="B5" s="5">
        <v>0.58333333333333337</v>
      </c>
      <c r="C5" s="8" t="s">
        <v>78</v>
      </c>
    </row>
    <row r="6" spans="1:3" x14ac:dyDescent="0.25">
      <c r="A6" s="5">
        <v>0.72916666666666663</v>
      </c>
      <c r="B6" s="5">
        <v>0.83333333333333337</v>
      </c>
      <c r="C6" s="37" t="s">
        <v>79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Shangri-La NO BO</vt:lpstr>
      <vt:lpstr>Ibu Mulia Dewi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Azizah</dc:creator>
  <cp:keywords/>
  <dc:description/>
  <cp:lastModifiedBy>Produksi KIM</cp:lastModifiedBy>
  <cp:revision/>
  <dcterms:created xsi:type="dcterms:W3CDTF">2025-09-09T02:52:18Z</dcterms:created>
  <dcterms:modified xsi:type="dcterms:W3CDTF">2025-10-30T03:29:17Z</dcterms:modified>
  <cp:category/>
  <cp:contentStatus/>
</cp:coreProperties>
</file>