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uments\2025\CLIENT\INGRAM\IMID 2025\"/>
    </mc:Choice>
  </mc:AlternateContent>
  <xr:revisionPtr revIDLastSave="0" documentId="13_ncr:1_{0CB0B99D-2377-4363-BB60-CF3210361621}" xr6:coauthVersionLast="47" xr6:coauthVersionMax="47" xr10:uidLastSave="{00000000-0000-0000-0000-000000000000}"/>
  <bookViews>
    <workbookView xWindow="-108" yWindow="-108" windowWidth="23256" windowHeight="12576" tabRatio="947" activeTab="3" xr2:uid="{B7C47693-FA6A-418D-8AB4-607FD089CD44}"/>
  </bookViews>
  <sheets>
    <sheet name="KOL SocMed " sheetId="14" r:id="rId1"/>
    <sheet name="PR Package BEM" sheetId="2" r:id="rId2"/>
    <sheet name="Registration" sheetId="4" r:id="rId3"/>
    <sheet name="Customer Event" sheetId="5" r:id="rId4"/>
    <sheet name="Partner Event" sheetId="8" r:id="rId5"/>
    <sheet name="Booth" sheetId="12" r:id="rId6"/>
    <sheet name="Hackathon" sheetId="10" state="hidden" r:id="rId7"/>
    <sheet name="Summary" sheetId="13" r:id="rId8"/>
  </sheets>
  <definedNames>
    <definedName name="_xlnm.Print_Area" localSheetId="5">Booth!$A$1:$I$168</definedName>
    <definedName name="_xlnm.Print_Area" localSheetId="3">'Customer Event'!$A$1:$G$145</definedName>
    <definedName name="_xlnm.Print_Area" localSheetId="6">Hackathon!$A$1:$I$132</definedName>
    <definedName name="_xlnm.Print_Area" localSheetId="0">'KOL SocMed '!$A$1:$H$81</definedName>
    <definedName name="_xlnm.Print_Area" localSheetId="4">'Partner Event'!$A$1:$I$104</definedName>
    <definedName name="_xlnm.Print_Area" localSheetId="1">'PR Package BEM'!$A$1:$H$120</definedName>
    <definedName name="_xlnm.Print_Area" localSheetId="2">Registration!$A$1:$H$72</definedName>
    <definedName name="_xlnm.Print_Area" localSheetId="7">Summary!$B$4:$F$17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8" l="1"/>
  <c r="D100" i="5" l="1"/>
  <c r="D52" i="8"/>
  <c r="D51" i="8"/>
  <c r="D49" i="8"/>
  <c r="E123" i="12"/>
  <c r="D61" i="8" l="1"/>
  <c r="K49" i="8"/>
  <c r="M66" i="5"/>
  <c r="K66" i="8"/>
  <c r="G64" i="8" l="1"/>
  <c r="G104" i="5"/>
  <c r="I52" i="5"/>
  <c r="F52" i="5" s="1"/>
  <c r="K47" i="8"/>
  <c r="I49" i="5"/>
  <c r="I57" i="5"/>
  <c r="I55" i="5"/>
  <c r="F55" i="5" s="1"/>
  <c r="G91" i="5"/>
  <c r="G82" i="5"/>
  <c r="G49" i="5"/>
  <c r="E113" i="12"/>
  <c r="E83" i="12"/>
  <c r="E82" i="12"/>
  <c r="E81" i="12"/>
  <c r="E80" i="12"/>
  <c r="G55" i="8"/>
  <c r="G54" i="8"/>
  <c r="E112" i="12"/>
  <c r="H120" i="12"/>
  <c r="H41" i="12"/>
  <c r="H36" i="12"/>
  <c r="G59" i="8"/>
  <c r="G61" i="8"/>
  <c r="G51" i="8"/>
  <c r="G52" i="8"/>
  <c r="G26" i="4"/>
  <c r="G74" i="2"/>
  <c r="G67" i="2"/>
  <c r="G48" i="8" l="1"/>
  <c r="G49" i="8"/>
  <c r="G50" i="8"/>
  <c r="F35" i="14" l="1"/>
  <c r="H94" i="12"/>
  <c r="H93" i="12"/>
  <c r="H92" i="12"/>
  <c r="H91" i="12"/>
  <c r="H89" i="12"/>
  <c r="H86" i="12"/>
  <c r="G87" i="5"/>
  <c r="G77" i="5"/>
  <c r="G35" i="8"/>
  <c r="G34" i="8"/>
  <c r="F30" i="14" l="1"/>
  <c r="H123" i="12"/>
  <c r="H122" i="12"/>
  <c r="H118" i="12"/>
  <c r="H116" i="12"/>
  <c r="H113" i="12"/>
  <c r="H112" i="12"/>
  <c r="H111" i="12"/>
  <c r="H107" i="12"/>
  <c r="H104" i="12"/>
  <c r="H103" i="12"/>
  <c r="H102" i="12"/>
  <c r="H100" i="12"/>
  <c r="H97" i="12"/>
  <c r="H83" i="12"/>
  <c r="H82" i="12"/>
  <c r="H81" i="12"/>
  <c r="H79" i="12"/>
  <c r="H76" i="12"/>
  <c r="H74" i="12"/>
  <c r="H73" i="12"/>
  <c r="E70" i="12"/>
  <c r="H70" i="12" s="1"/>
  <c r="H67" i="12"/>
  <c r="H64" i="12"/>
  <c r="H63" i="12"/>
  <c r="H62" i="12"/>
  <c r="H61" i="12"/>
  <c r="H60" i="12"/>
  <c r="H59" i="12"/>
  <c r="H57" i="12"/>
  <c r="H55" i="12"/>
  <c r="H54" i="12"/>
  <c r="H53" i="12"/>
  <c r="H52" i="12"/>
  <c r="H51" i="12"/>
  <c r="H49" i="12"/>
  <c r="H48" i="12"/>
  <c r="H47" i="12"/>
  <c r="H44" i="12"/>
  <c r="H45" i="12"/>
  <c r="H37" i="12"/>
  <c r="H33" i="12"/>
  <c r="G90" i="5"/>
  <c r="G89" i="5"/>
  <c r="G88" i="5"/>
  <c r="G86" i="5"/>
  <c r="G85" i="5"/>
  <c r="G76" i="5"/>
  <c r="G75" i="5"/>
  <c r="G68" i="5"/>
  <c r="G61" i="2"/>
  <c r="F38" i="14" l="1"/>
  <c r="F39" i="14" s="1"/>
  <c r="G69" i="2"/>
  <c r="G68" i="2"/>
  <c r="G40" i="5"/>
  <c r="G95" i="5"/>
  <c r="G46" i="8"/>
  <c r="G51" i="10"/>
  <c r="G40" i="2"/>
  <c r="G38" i="2"/>
  <c r="G27" i="4"/>
  <c r="G28" i="4"/>
  <c r="G29" i="4"/>
  <c r="G30" i="4"/>
  <c r="G94" i="5"/>
  <c r="G101" i="5"/>
  <c r="G100" i="5"/>
  <c r="G99" i="5"/>
  <c r="G98" i="5"/>
  <c r="G71" i="5"/>
  <c r="G67" i="5"/>
  <c r="G66" i="5"/>
  <c r="G63" i="5"/>
  <c r="G62" i="5"/>
  <c r="G60" i="5"/>
  <c r="G59" i="5"/>
  <c r="G57" i="5"/>
  <c r="G55" i="5"/>
  <c r="G54" i="5"/>
  <c r="G53" i="5"/>
  <c r="G52" i="5"/>
  <c r="G48" i="5"/>
  <c r="G47" i="5"/>
  <c r="G39" i="5"/>
  <c r="G38" i="5"/>
  <c r="G37" i="5"/>
  <c r="G42" i="5"/>
  <c r="G41" i="5"/>
  <c r="H126" i="12"/>
  <c r="E27" i="12"/>
  <c r="E28" i="12" s="1"/>
  <c r="H28" i="12" s="1"/>
  <c r="H26" i="12"/>
  <c r="H25" i="12"/>
  <c r="H24" i="12"/>
  <c r="H23" i="12"/>
  <c r="H22" i="12"/>
  <c r="H21" i="12"/>
  <c r="C7" i="13" l="1"/>
  <c r="D7" i="13"/>
  <c r="H27" i="12"/>
  <c r="H129" i="12" s="1"/>
  <c r="H130" i="12" s="1"/>
  <c r="C12" i="13" s="1"/>
  <c r="D12" i="13" s="1"/>
  <c r="E12" i="13" s="1"/>
  <c r="E7" i="13" l="1"/>
  <c r="G44" i="5" l="1"/>
  <c r="G43" i="5"/>
  <c r="G47" i="8" l="1"/>
  <c r="G45" i="8"/>
  <c r="G42" i="8"/>
  <c r="G39" i="8"/>
  <c r="G31" i="8"/>
  <c r="G30" i="8"/>
  <c r="G29" i="8"/>
  <c r="G58" i="10" l="1"/>
  <c r="G56" i="10"/>
  <c r="G57" i="10"/>
  <c r="G29" i="10" l="1"/>
  <c r="G65" i="10" l="1"/>
  <c r="G64" i="10"/>
  <c r="G44" i="10"/>
  <c r="G43" i="10"/>
  <c r="G41" i="10"/>
  <c r="G39" i="10"/>
  <c r="G37" i="10"/>
  <c r="G36" i="10"/>
  <c r="G77" i="10"/>
  <c r="G76" i="10"/>
  <c r="G73" i="10"/>
  <c r="G72" i="10"/>
  <c r="G71" i="10"/>
  <c r="G68" i="10"/>
  <c r="G61" i="10"/>
  <c r="G60" i="10"/>
  <c r="G55" i="10"/>
  <c r="G54" i="10"/>
  <c r="G48" i="10"/>
  <c r="G47" i="10"/>
  <c r="G34" i="5"/>
  <c r="G106" i="5" s="1"/>
  <c r="G23" i="4"/>
  <c r="G66" i="2"/>
  <c r="G65" i="2"/>
  <c r="G62" i="2"/>
  <c r="G59" i="2"/>
  <c r="G56" i="2"/>
  <c r="G52" i="2"/>
  <c r="G49" i="2"/>
  <c r="G48" i="2"/>
  <c r="G47" i="2"/>
  <c r="G24" i="2"/>
  <c r="G92" i="10" l="1"/>
  <c r="G93" i="10" s="1"/>
  <c r="G78" i="2"/>
  <c r="G33" i="4"/>
  <c r="C9" i="13" s="1"/>
  <c r="D9" i="13" s="1"/>
  <c r="E9" i="13" s="1"/>
  <c r="G107" i="5"/>
  <c r="C10" i="13" s="1"/>
  <c r="G66" i="8"/>
  <c r="G67" i="8" s="1"/>
  <c r="C11" i="13" s="1"/>
  <c r="D11" i="13" l="1"/>
  <c r="E11" i="13" s="1"/>
  <c r="D10" i="13"/>
  <c r="E10" i="13" s="1"/>
  <c r="G79" i="2"/>
  <c r="C8" i="13" s="1"/>
  <c r="D8" i="13" s="1"/>
  <c r="E8" i="13" s="1"/>
  <c r="G94" i="10"/>
  <c r="G95" i="10" s="1"/>
  <c r="E14" i="13" l="1"/>
  <c r="G96" i="10"/>
  <c r="G97" i="10" s="1"/>
</calcChain>
</file>

<file path=xl/sharedStrings.xml><?xml version="1.0" encoding="utf-8"?>
<sst xmlns="http://schemas.openxmlformats.org/spreadsheetml/2006/main" count="861" uniqueCount="381">
  <si>
    <t>NO</t>
  </si>
  <si>
    <t xml:space="preserve">DESCRIPTION </t>
  </si>
  <si>
    <t>PIC</t>
  </si>
  <si>
    <t>QTY</t>
  </si>
  <si>
    <t>Freq</t>
  </si>
  <si>
    <t>A</t>
  </si>
  <si>
    <t>Ingram Micro Innovation Day 2025</t>
  </si>
  <si>
    <t>Customer Event</t>
  </si>
  <si>
    <t xml:space="preserve">Partner Gathering </t>
  </si>
  <si>
    <t xml:space="preserve">Venue </t>
  </si>
  <si>
    <t>KIM</t>
  </si>
  <si>
    <t>Sub Total</t>
  </si>
  <si>
    <t>Grand Total</t>
  </si>
  <si>
    <t>Price-unit</t>
  </si>
  <si>
    <t xml:space="preserve">D Day: Media Press Conference  </t>
  </si>
  <si>
    <t>Media Invite (40  media)</t>
  </si>
  <si>
    <t>Follow up media relations activity</t>
  </si>
  <si>
    <t xml:space="preserve">Briefing Document for Speakers </t>
  </si>
  <si>
    <t>Post Event :Press Release (Service from Udari/KIM to IM)</t>
  </si>
  <si>
    <t>Press Release (Development - bilingual, and Distribution)</t>
  </si>
  <si>
    <t>Post Event Monitoring &amp; Report</t>
  </si>
  <si>
    <t>B</t>
  </si>
  <si>
    <t>Production on the Day</t>
  </si>
  <si>
    <t>C-Level &amp; Media Event</t>
  </si>
  <si>
    <t>PREPARATION</t>
  </si>
  <si>
    <t>Supervision Hotel from preparation ( h-1 )  - Loading  Unloading</t>
  </si>
  <si>
    <t xml:space="preserve">Project Officer </t>
  </si>
  <si>
    <t>Registration</t>
  </si>
  <si>
    <t xml:space="preserve">Photografer </t>
  </si>
  <si>
    <t xml:space="preserve">Video For Documentation </t>
  </si>
  <si>
    <t xml:space="preserve">MC Media: BEM </t>
  </si>
  <si>
    <t>Creative Package</t>
  </si>
  <si>
    <t xml:space="preserve">2D  Design (All Material Video Bumper) </t>
  </si>
  <si>
    <t xml:space="preserve">Production </t>
  </si>
  <si>
    <t>Foyer Area:</t>
  </si>
  <si>
    <t>Electrical &amp; Audio Visual</t>
  </si>
  <si>
    <t>Clicker</t>
  </si>
  <si>
    <t xml:space="preserve">TV Matador </t>
  </si>
  <si>
    <t>Other Cost</t>
  </si>
  <si>
    <t xml:space="preserve">Name Desk for C-Level </t>
  </si>
  <si>
    <t xml:space="preserve">Lanyard + Name Badge for Media </t>
  </si>
  <si>
    <t>Additional</t>
  </si>
  <si>
    <t>Souvenir</t>
  </si>
  <si>
    <t>Agency Fee</t>
  </si>
  <si>
    <t>Total</t>
  </si>
  <si>
    <t>Others:</t>
  </si>
  <si>
    <t xml:space="preserve">Price-unit </t>
  </si>
  <si>
    <t>Registration, Self Checkin, System Booth Tour, Feedback form</t>
  </si>
  <si>
    <t xml:space="preserve">Leader registration </t>
  </si>
  <si>
    <t>Usher Checkin</t>
  </si>
  <si>
    <t xml:space="preserve">Usher Walkin  </t>
  </si>
  <si>
    <t xml:space="preserve">Customers Event </t>
  </si>
  <si>
    <t xml:space="preserve">Loading Unloading Team </t>
  </si>
  <si>
    <t>SHOW MANAGEMENT for Customer event + GR</t>
  </si>
  <si>
    <t xml:space="preserve">Customer Conference Session : Show Management: Stage Manager, Crew MC, Stage Crew, VJ, </t>
  </si>
  <si>
    <t xml:space="preserve">Asst LO Speaker - Sponsor </t>
  </si>
  <si>
    <t xml:space="preserve">Eartac </t>
  </si>
  <si>
    <t>HT</t>
  </si>
  <si>
    <t>Perfect Que</t>
  </si>
  <si>
    <t>Meals</t>
  </si>
  <si>
    <t>Documentation &amp; Talent  : 08.00 - 21.00</t>
  </si>
  <si>
    <t xml:space="preserve">TALENT </t>
  </si>
  <si>
    <t>Moderator Fireside Chat: Wisnu Nugroho Infokom</t>
  </si>
  <si>
    <t>Panelist:Joseph Lembayung</t>
  </si>
  <si>
    <t>Opening Act</t>
  </si>
  <si>
    <t xml:space="preserve">Video Opening Revision from Star Series </t>
  </si>
  <si>
    <t xml:space="preserve">Creative </t>
  </si>
  <si>
    <t>Genset 60KVA Conference ( Sound + Laser + electrical device Booth  )</t>
  </si>
  <si>
    <t>Main Backdrop Production</t>
  </si>
  <si>
    <t>LED Header  size : 2m x50cm</t>
  </si>
  <si>
    <t>Communication &amp; Reporting</t>
  </si>
  <si>
    <t xml:space="preserve">Lanyard + Name Badge: Customer 300 </t>
  </si>
  <si>
    <t>Lanyard + Name Badge: IM Team</t>
  </si>
  <si>
    <t>Concept</t>
  </si>
  <si>
    <t>SHOW MANAGEMENT for Partner  event + GR</t>
  </si>
  <si>
    <t xml:space="preserve">Partner Session : Show Management: Stage Manager, Crew MC, Stage Crew, VJ, </t>
  </si>
  <si>
    <t xml:space="preserve">Talent Coord  </t>
  </si>
  <si>
    <t>TALENT</t>
  </si>
  <si>
    <t>Award Thropy</t>
  </si>
  <si>
    <t>Plaque</t>
  </si>
  <si>
    <t xml:space="preserve">Photo Glambot - 6 hours only @ Partner Event </t>
  </si>
  <si>
    <t>BOOTH PRODUCTION</t>
  </si>
  <si>
    <t>D Day-EVENT : include preparation</t>
  </si>
  <si>
    <t>Production &amp; Booth team</t>
  </si>
  <si>
    <t xml:space="preserve">PIC Foyer </t>
  </si>
  <si>
    <t xml:space="preserve">PIC Booth </t>
  </si>
  <si>
    <t>Logistic</t>
  </si>
  <si>
    <t>Runner</t>
  </si>
  <si>
    <t xml:space="preserve">Meals - long shift </t>
  </si>
  <si>
    <t xml:space="preserve">Electrical Installment for booth </t>
  </si>
  <si>
    <t>REGISTRATION AREA</t>
  </si>
  <si>
    <t xml:space="preserve">PHOTOBOOTH @ PartnerGathering </t>
  </si>
  <si>
    <t>LED Table rental</t>
  </si>
  <si>
    <t xml:space="preserve">Puff LED </t>
  </si>
  <si>
    <t>WhiteTable rental</t>
  </si>
  <si>
    <t>Showcase Consumer Products &amp; Transportation from IM</t>
  </si>
  <si>
    <t>Dinding Size 3x3</t>
  </si>
  <si>
    <t>Table Ambalan</t>
  </si>
  <si>
    <t xml:space="preserve">LED Bar Table </t>
  </si>
  <si>
    <t>Bar Stool</t>
  </si>
  <si>
    <t xml:space="preserve">Showcase Product &amp; Transportation from IM </t>
  </si>
  <si>
    <t xml:space="preserve">Table Display </t>
  </si>
  <si>
    <t xml:space="preserve">Showcase PC AI  - Transportation &amp; Product from IM </t>
  </si>
  <si>
    <t xml:space="preserve">Showcase SI Product &amp; Transportation from IM </t>
  </si>
  <si>
    <t>Diamond  Booth 4x3m - Flexy</t>
  </si>
  <si>
    <t>Backdrop : 4 x2,4m (tinggi)</t>
  </si>
  <si>
    <t>LED Table</t>
  </si>
  <si>
    <t>Bar Stool : 3 unit</t>
  </si>
  <si>
    <t>Telemarketing - 1 months</t>
  </si>
  <si>
    <t>Event Access - 8 pax</t>
  </si>
  <si>
    <t>Gold Sponsor:</t>
  </si>
  <si>
    <t xml:space="preserve">Gold Booth 3x3m - Flexy </t>
  </si>
  <si>
    <t>Backdrop : 3 x2,44m</t>
  </si>
  <si>
    <t>Level Flooring 10cm - Carpet</t>
  </si>
  <si>
    <t>Bar Stool : 2 unit</t>
  </si>
  <si>
    <t>Event Access - 5 pax</t>
  </si>
  <si>
    <t xml:space="preserve">Silver Sponsor Booth </t>
  </si>
  <si>
    <t xml:space="preserve">Silver Booth 2x2m - Flexy </t>
  </si>
  <si>
    <t>Backdrop : 2 x2,44m</t>
  </si>
  <si>
    <t>Event Access - 3 pax</t>
  </si>
  <si>
    <t xml:space="preserve">Xvantage Booth </t>
  </si>
  <si>
    <t>X-Vantage Booth 2x2m - Finshing Duco</t>
  </si>
  <si>
    <t>Storage 60(W)x40x60 (H)cm - Finishing Duco</t>
  </si>
  <si>
    <t xml:space="preserve">Backdrop : 2 x2,44m - finishing sticker for X &amp; Blue Laptop Table  </t>
  </si>
  <si>
    <t xml:space="preserve">5. </t>
  </si>
  <si>
    <t>Transportation : goodies bag, display products (exclude PC AI)Loading-Unloading</t>
  </si>
  <si>
    <t>KI</t>
  </si>
  <si>
    <t>Booth Tour Prizes &amp; Program from Ingram</t>
  </si>
  <si>
    <t>Hackathon Event</t>
  </si>
  <si>
    <t>Alt 1 .Full Day Package @  Ashley Tanah Abang - dibagi 3 room</t>
  </si>
  <si>
    <t>Alt 2: Full Day Package @ Pullman  ; dibagi 3 Room</t>
  </si>
  <si>
    <t>Alt 3: Full Day Package @ Shangri-La  ; dibagi 3 Room</t>
  </si>
  <si>
    <t>Classroom  table - 1 table 3 chairs</t>
  </si>
  <si>
    <t>LCD Projector + Screen</t>
  </si>
  <si>
    <t xml:space="preserve">Stage Module </t>
  </si>
  <si>
    <t xml:space="preserve">Team work : Project Officer , SD, VJ, LO MC, Stage Mgr, Crew </t>
  </si>
  <si>
    <t>LO Group</t>
  </si>
  <si>
    <t>Facilitator per category</t>
  </si>
  <si>
    <t>MC</t>
  </si>
  <si>
    <t>Mentor /category</t>
  </si>
  <si>
    <t>Independent Judges/category</t>
  </si>
  <si>
    <t xml:space="preserve">Microsite Hackathon - One link to IMID website </t>
  </si>
  <si>
    <t xml:space="preserve">Documentation on D Day event </t>
  </si>
  <si>
    <t xml:space="preserve">Video For Documentation include highlight editing  </t>
  </si>
  <si>
    <t>Creative</t>
  </si>
  <si>
    <t xml:space="preserve">Bumper Still for speaker, Design EDM , IG </t>
  </si>
  <si>
    <t xml:space="preserve">Roll up Banner for 3 rooms </t>
  </si>
  <si>
    <t>Backdrop Photobooth</t>
  </si>
  <si>
    <t>LED size 2x 3,5m based 40cm</t>
  </si>
  <si>
    <t xml:space="preserve">Backdrop ki ka LED size 1,2 x 2m </t>
  </si>
  <si>
    <t>Sound System for Main brief 1,500 watt</t>
  </si>
  <si>
    <t>Sound System for other 2 BO rooms - standart - from Hotel</t>
  </si>
  <si>
    <t>Signage Registration &amp; Agenda Size A1 , Tripod</t>
  </si>
  <si>
    <t xml:space="preserve">TV for Agenda info (55') + standee @ Registration area </t>
  </si>
  <si>
    <t xml:space="preserve">Build Momentum from Hackation Event - PR Package </t>
  </si>
  <si>
    <t>Media Brief: 20 media @ IM Office - Theater Style</t>
  </si>
  <si>
    <t>Snack box plus coffee Tomoro</t>
  </si>
  <si>
    <t>T-shirt include logo</t>
  </si>
  <si>
    <t>Prizes</t>
  </si>
  <si>
    <t>Piagam</t>
  </si>
  <si>
    <t>CASH: Winner 1 : 25 juta @ 3 kategori , Winner Hiburan : 10 juta x3 pax</t>
  </si>
  <si>
    <t>Medale - 3 tim @ 5 org</t>
  </si>
  <si>
    <t>Lanyard + Name Badge</t>
  </si>
  <si>
    <t>PRE-EVENT : include D day Preparation</t>
  </si>
  <si>
    <t>Project Mgr</t>
  </si>
  <si>
    <t>University &amp; Community RO</t>
  </si>
  <si>
    <t>Assessment Officer</t>
  </si>
  <si>
    <t xml:space="preserve">Content &amp; Developer Officer </t>
  </si>
  <si>
    <t>Admin &amp; Registration</t>
  </si>
  <si>
    <t>Database Community &amp; Telemarketing Mgt</t>
  </si>
  <si>
    <t xml:space="preserve">Hackathon Community </t>
  </si>
  <si>
    <t>Description</t>
  </si>
  <si>
    <t>Total Budget</t>
  </si>
  <si>
    <t>ASF</t>
  </si>
  <si>
    <t>PR Package BEM</t>
  </si>
  <si>
    <t>Partner Event</t>
  </si>
  <si>
    <t>Booth</t>
  </si>
  <si>
    <t>Hotel</t>
  </si>
  <si>
    <t>LO Speaker - Long Shift dari C-Level - Partner Event</t>
  </si>
  <si>
    <t xml:space="preserve"> MC - Gala Dinner : Rio Simamora</t>
  </si>
  <si>
    <t xml:space="preserve"> MC - Customer + Partner Dinner : Tya Ayustia</t>
  </si>
  <si>
    <t>IM</t>
  </si>
  <si>
    <t xml:space="preserve">Wing Left &amp; Right LED P2.6   :size 3x5m , with Base LED </t>
  </si>
  <si>
    <t>SHOW MANAGEMENT for Full Day event: C-Level &amp; PR)</t>
  </si>
  <si>
    <t xml:space="preserve">C-Level &amp; PR Event </t>
  </si>
  <si>
    <t>TALENT &amp; Documentation : Half Day</t>
  </si>
  <si>
    <t>Wing Backdrop  2 unit ,Left Right - size : 3,5 x 4,8 m</t>
  </si>
  <si>
    <t>Room/ Night Include Breakfast</t>
  </si>
  <si>
    <t>Tiket PP - Citilink</t>
  </si>
  <si>
    <t>Date</t>
  </si>
  <si>
    <t>Project</t>
  </si>
  <si>
    <t>: Ingram Micro Innovation Day 2025</t>
  </si>
  <si>
    <t>Attn</t>
  </si>
  <si>
    <t>: Abigail Laurencia</t>
  </si>
  <si>
    <t>Client</t>
  </si>
  <si>
    <t>: PT Ingram Micro Indonesia</t>
  </si>
  <si>
    <t>Venue</t>
  </si>
  <si>
    <t>Address</t>
  </si>
  <si>
    <t>: Jl. Ir. H. Juanda IV No 3B-C</t>
  </si>
  <si>
    <t>No. Order</t>
  </si>
  <si>
    <t xml:space="preserve">  Wisma Nugra Santana Lt. 9 Suite 909</t>
  </si>
  <si>
    <t xml:space="preserve">  Jakarta Pusat 10250</t>
  </si>
  <si>
    <t>Note (Contract, Term &amp; Condition) :</t>
  </si>
  <si>
    <t xml:space="preserve">The Price Included PPn 11 % </t>
  </si>
  <si>
    <t xml:space="preserve">Approval needed latest one month before in related to 3rd party </t>
  </si>
  <si>
    <t>Cancellation fee 25 % from total amount of the project if the contract has been signed</t>
  </si>
  <si>
    <t>Term of payment :</t>
  </si>
  <si>
    <t>100 %  payment  after project finish</t>
  </si>
  <si>
    <t>Payment Transfer to : PT Kemenangan Indah Makmur</t>
  </si>
  <si>
    <t xml:space="preserve">                                        Bank BCA Branch : Pondok Indah </t>
  </si>
  <si>
    <t xml:space="preserve">                                        account IDR : 731.065.558.3</t>
  </si>
  <si>
    <t xml:space="preserve">                                        account USD : 731.096.766.6</t>
  </si>
  <si>
    <t xml:space="preserve">                                            NPWP : 02.098.562.8-013.000</t>
  </si>
  <si>
    <t>Prepared by :</t>
  </si>
  <si>
    <t>Approved by,</t>
  </si>
  <si>
    <t>Fanny Suwarni</t>
  </si>
  <si>
    <t>Abigail Laurencia</t>
  </si>
  <si>
    <t>KIM Marketing Services</t>
  </si>
  <si>
    <t>PT Ingram Micro Indonesia</t>
  </si>
  <si>
    <t>PPN 11%</t>
  </si>
  <si>
    <t>: QTN/KIM/2025/VIII/00015 B</t>
  </si>
  <si>
    <t>: QTN/KIM/2025/VIII/00015 C</t>
  </si>
  <si>
    <t>: QTN/KIM/2025/VIII/00015 D</t>
  </si>
  <si>
    <t>Soundsystem 1500 watt</t>
  </si>
  <si>
    <t>Keynote Indrawan Nugroho  - 2x event : C-Level &amp; Customer</t>
  </si>
  <si>
    <t>Ushers - Black costume KIM  | long  Shift</t>
  </si>
  <si>
    <t>SPB Security - Black Jacket costume from their own | Long Shift</t>
  </si>
  <si>
    <t>Content Laser</t>
  </si>
  <si>
    <t xml:space="preserve">Laser Show (RGB 20 Watt *Prices exc. content)  - Package 2 Times </t>
  </si>
  <si>
    <t xml:space="preserve">LED P2.6  Center :size 3,5x7m , with Base LED  </t>
  </si>
  <si>
    <t>Railing &amp; Additional Stage 10x3m</t>
  </si>
  <si>
    <t>Soundsystem 10.000 watt include amplifier band  (peralatan dari band bawa: keyboard, gitar, drum electric, bas )</t>
  </si>
  <si>
    <t>Lighting: Parled 8, Fresnel 4,,moving beam 4 include rigging</t>
  </si>
  <si>
    <t>Genset 100KVA Conference ( ALL LED   )</t>
  </si>
  <si>
    <t>: 07 Oct  2025</t>
  </si>
  <si>
    <t>GATE (tinggi 3,6mx 3m-H) diameter 2,4m Lighted LED Flex , 2 D Pop up</t>
  </si>
  <si>
    <t>Level Flooring 10cm - Melaminto 3x3m</t>
  </si>
  <si>
    <t xml:space="preserve">Digital Creator &amp; Soc Med Package </t>
  </si>
  <si>
    <t>Content Creators</t>
  </si>
  <si>
    <t>KOL Coordination (KOL Brief, Coordination, On Event Supervision)</t>
  </si>
  <si>
    <t>LED P2.6 size 2,5 x4m , with Base LED</t>
  </si>
  <si>
    <t xml:space="preserve">MAIN BALLROOM </t>
  </si>
  <si>
    <t xml:space="preserve">Rigging safety LED, Gun Smoke </t>
  </si>
  <si>
    <t xml:space="preserve">2D &amp; 3D Design (All Material Video Bumper, Awarding, Flazz, Booth) </t>
  </si>
  <si>
    <t xml:space="preserve">Date </t>
  </si>
  <si>
    <t>: 03 Dec 2025 (Wed)</t>
  </si>
  <si>
    <t xml:space="preserve">: Shangri-La Hotel, Jakarta </t>
  </si>
  <si>
    <t>: QTN/KIM/2025/VIII/00015 E</t>
  </si>
  <si>
    <t>: QTN/KIM/2025/VIII/00015 F</t>
  </si>
  <si>
    <t>: QTN/KIM/2025/VIII/00015 H</t>
  </si>
  <si>
    <t xml:space="preserve">Riders : Meals + drinks , Make Up Room </t>
  </si>
  <si>
    <t>KOL Sosmed</t>
  </si>
  <si>
    <t>Lighting Rigging</t>
  </si>
  <si>
    <t>Lanyard + Name Badge : Partner 350</t>
  </si>
  <si>
    <t>Platinum Sponsor:</t>
  </si>
  <si>
    <t>MC - Podcast, FD  - Marcellona Siregar</t>
  </si>
  <si>
    <t xml:space="preserve"> MC - Clevel, HD : Jessica William</t>
  </si>
  <si>
    <t>: 09 Dec 2025 (Tues)</t>
  </si>
  <si>
    <t>- IG Story 1x (post ig reels) (after Event)</t>
  </si>
  <si>
    <t>- 1x IG Reels (after Event, keseruan Acara)</t>
  </si>
  <si>
    <t>- Live Streaming Podcast di Youtube</t>
  </si>
  <si>
    <t>- Visit Event &amp; Attend Podcast pas Coffe Break dan Lunch Time</t>
  </si>
  <si>
    <t xml:space="preserve">C-Level: Jabra </t>
  </si>
  <si>
    <t xml:space="preserve">Costume for bu Dewi  </t>
  </si>
  <si>
    <t>MUA for Men</t>
  </si>
  <si>
    <t xml:space="preserve">MUA for Female </t>
  </si>
  <si>
    <t>Anjas Maradita - Tech Reviewer - SOW sbb</t>
  </si>
  <si>
    <t xml:space="preserve">Video Teaser - done </t>
  </si>
  <si>
    <t>Quote Dewi</t>
  </si>
  <si>
    <t xml:space="preserve">Design : Social Media Content , masih tunggu list timeline dari Cia </t>
  </si>
  <si>
    <t xml:space="preserve">Signage Digital </t>
  </si>
  <si>
    <t>Lanyard + Name Badge for C-Level</t>
  </si>
  <si>
    <t xml:space="preserve">Registration System </t>
  </si>
  <si>
    <t xml:space="preserve">Belkin  - 30 unit </t>
  </si>
  <si>
    <t>Media : Kipas Gojodog include logo IM , white color</t>
  </si>
  <si>
    <t>Registration equipment : Printer, Laptop include technician</t>
  </si>
  <si>
    <t>Microsite Customer &amp; Partner - additional request for Content</t>
  </si>
  <si>
    <t>Entertainment : Latte Matte - 120 mnt</t>
  </si>
  <si>
    <t xml:space="preserve">Video Awarding 2D &amp; sdikit 3D - 10 award </t>
  </si>
  <si>
    <t xml:space="preserve">  Production Stage</t>
  </si>
  <si>
    <t>Backdrop Registration size L,  size A: 4,8 x 2,44m size B ; 2,44 x 2,44m</t>
  </si>
  <si>
    <t xml:space="preserve">Registration Table with IM Logo size 60x90cm </t>
  </si>
  <si>
    <t xml:space="preserve">SIGNAGE : 2x1m , multiplex finishing sticker </t>
  </si>
  <si>
    <t>Flooring  4,88 x 2,44m &amp; Backdrop 4,88 x 3,6m Full finishing Flexy Print German</t>
  </si>
  <si>
    <t xml:space="preserve">Dinding Size 3x3 </t>
  </si>
  <si>
    <t xml:space="preserve">CYBER  SECURITY Booth size 3x3m H:3m </t>
  </si>
  <si>
    <t>INNOVATION HUB size 6x3m</t>
  </si>
  <si>
    <t xml:space="preserve">Level Flooring 10cm - Melaminto 3x6m, Lighted at PC AI area </t>
  </si>
  <si>
    <t>Smart TV Touch Screen 50 inch</t>
  </si>
  <si>
    <t xml:space="preserve">LED Table </t>
  </si>
  <si>
    <t>Flooring Stage : 19.20 x 3,6m, carpet , stairs melaminto + tangga lighted (16 modul stage dari Hotel)</t>
  </si>
  <si>
    <t xml:space="preserve">Wing Backdrop Ki &amp; Ka: 4,8 x 3,5m (2 set) multiplex Finsihing flexy Korcin </t>
  </si>
  <si>
    <t>Table Blue Lighted 1 sisi -  size 1,22 x 60x T: 90cm</t>
  </si>
  <si>
    <t>Table Blue Lighted 1 sisi -  size 80x60 xT 90cm</t>
  </si>
  <si>
    <t>Meja LED for Laptop Prizes - Xvantage  member</t>
  </si>
  <si>
    <t>Diamond Sponsor: HPE &amp; APC (TBC)</t>
  </si>
  <si>
    <t>Operator Livestream , Live Cam + 3 Camera = total 5 pax</t>
  </si>
  <si>
    <t>SMURF(Communication)  Booth size 4x4m H: 3m&amp; PODCAST</t>
  </si>
  <si>
    <t>Logo Lighted cutting sticker &amp; LED Strip</t>
  </si>
  <si>
    <t>: QTN/KIM/2025/VIII/00015 A</t>
  </si>
  <si>
    <t>Show Management: Stage Manager, Crew MC, Stage Crew, VJ</t>
  </si>
  <si>
    <t>Eartac</t>
  </si>
  <si>
    <t xml:space="preserve">Black Curtain+ Depan 40 m2 </t>
  </si>
  <si>
    <t>Custome - Astronaut</t>
  </si>
  <si>
    <t>Ipad</t>
  </si>
  <si>
    <t>PIC Activity</t>
  </si>
  <si>
    <t>: 03 Nov  2025 - Rev 18</t>
  </si>
  <si>
    <t>5 Sofa Putih &amp; 1 Meja</t>
  </si>
  <si>
    <t>MBTH - JGN HPS</t>
  </si>
  <si>
    <t xml:space="preserve">NAME BADGE - 850 </t>
  </si>
  <si>
    <t xml:space="preserve">SHOPPEE </t>
  </si>
  <si>
    <t>AZZARA</t>
  </si>
  <si>
    <t>BRANDING KIPAS 15</t>
  </si>
  <si>
    <t>TRIYANTO</t>
  </si>
  <si>
    <t>GOJODOG KIPAS 15</t>
  </si>
  <si>
    <t>SHOPPEE</t>
  </si>
  <si>
    <t>SPEAKER</t>
  </si>
  <si>
    <t>PT. CIPTA KONSULTAN</t>
  </si>
  <si>
    <t>PAKET ALAT LIVESTREAMIN</t>
  </si>
  <si>
    <t>MALVIB</t>
  </si>
  <si>
    <t>GLAMBOTH</t>
  </si>
  <si>
    <t>PT. VARBEL</t>
  </si>
  <si>
    <t>ADD ROOM SHANGRILA</t>
  </si>
  <si>
    <t>PT. SWADHARMA</t>
  </si>
  <si>
    <t>YUSTIANI</t>
  </si>
  <si>
    <t xml:space="preserve">YOKI </t>
  </si>
  <si>
    <t>PLAKAT 10</t>
  </si>
  <si>
    <t>Pluxee</t>
  </si>
  <si>
    <t>MUA - Ibu Dewi</t>
  </si>
  <si>
    <t>update meeting 12/11 + 3</t>
  </si>
  <si>
    <t>Men 11 , Female 6</t>
  </si>
  <si>
    <t>Additional:</t>
  </si>
  <si>
    <t>Wayang Plaque</t>
  </si>
  <si>
    <t>revisi harga</t>
  </si>
  <si>
    <t>beli baju usher 9 org x 500rb</t>
  </si>
  <si>
    <t>Signage</t>
  </si>
  <si>
    <t>dr roll up jadi signage</t>
  </si>
  <si>
    <t>1500000 kayu dpt 2 pcs, tripod banner 3 @125rb</t>
  </si>
  <si>
    <t>- Signage Area</t>
  </si>
  <si>
    <t>- Tripod banner (laptop)</t>
  </si>
  <si>
    <t>Alt : TBC</t>
  </si>
  <si>
    <t>GALIH</t>
  </si>
  <si>
    <t>SEWA COSTUM LEADER N BU DEWI</t>
  </si>
  <si>
    <t>Media - Untuk media writing competition kita drop krna budget tidak masuk - 13/11</t>
  </si>
  <si>
    <t>Cust event - Laken bag juga di drop krna budget tidak masuk - 13/11</t>
  </si>
  <si>
    <t>Lunch dinner bu dewi - drop (online aja) - 13/11</t>
  </si>
  <si>
    <t>Partner - Ipad hanya 2 aja - 13/11</t>
  </si>
  <si>
    <t>Partner - Usher astronut di hilangkan - 13/11</t>
  </si>
  <si>
    <t>Partner - Untuk baju leader &amp; make up sesuaikan hanya untuk bu dewi, ika, bu mira, hotland, JT, Hendrik, justin, rio - 13/11</t>
  </si>
  <si>
    <t>C CIA KG MO BAYAR KRN CMN NAMBAH KOLOM  AJE - Additional colom registrasi - drop VIA CALL 13/11</t>
  </si>
  <si>
    <t>gw kaga ngarti mksdnya apa</t>
  </si>
  <si>
    <t>VIA WA CALL… KATANYA DIA ACC ITU 7,5 JUTA KENAPA SKRG 10JUTA? JD BALIKIN KE 7,5JUTA</t>
  </si>
  <si>
    <t>GW DAH CARI KE NO REV 17.. TULISANNYA TETEP 10JT… APA ADA BUKTI DIA ACC DI 7,5JUTA KAH?</t>
  </si>
  <si>
    <t>1. Booth - harga gate di kurangin dikit deh =( - 13/11</t>
  </si>
  <si>
    <t>Booth - cyber knpa 4 tv harganya 10 juta? - 13/11</t>
  </si>
  <si>
    <t>1. Booth - Telemarketing diamond - drop - 13/11</t>
  </si>
  <si>
    <t>1. Booth - xv 4 pcs saja - 13/11</t>
  </si>
  <si>
    <t>Lunch box pr - drop- 13/11</t>
  </si>
  <si>
    <t>karena bukan hanya sewa tv saja tapi ada systemnya</t>
  </si>
  <si>
    <t>Bar Stool : 4 unit</t>
  </si>
  <si>
    <t xml:space="preserve">1. Booth - harga booth cyber disamakan - 15.500 - 13/11 </t>
  </si>
  <si>
    <t>TV Monitor 43 inch - 4 unit &amp; Sistem ==&gt; karena ini bukan hanya tv saja tapi pakai system ada prosesor, splitter dll</t>
  </si>
  <si>
    <t>Cust event - Untuk name tag IM siapkan 75 pcs 13/11</t>
  </si>
  <si>
    <t xml:space="preserve">Costume for Leader - Ika, bu Mira, Hotland, JT, Hendrik, Justin, Rio </t>
  </si>
  <si>
    <t>Crew - utk laptop</t>
  </si>
  <si>
    <t>KENAPA DI SINI ADA PODCAST EQUPIMNET DAN ADA DI CUST EVENT YG LIVE STREAMING APAKAH DOUBLE - 13/11 - tdk double… tetep di harga 12 juta</t>
  </si>
  <si>
    <t>Podcast Equipment - 8.00 -17.00</t>
  </si>
  <si>
    <t>ada filbert juga</t>
  </si>
  <si>
    <t xml:space="preserve">Yoan Full Day </t>
  </si>
  <si>
    <t>Michael</t>
  </si>
  <si>
    <t>FILBERT</t>
  </si>
  <si>
    <t xml:space="preserve">TMN koko </t>
  </si>
  <si>
    <t xml:space="preserve">Dimitri </t>
  </si>
  <si>
    <t>FALAH</t>
  </si>
  <si>
    <t>cek IRMAN</t>
  </si>
  <si>
    <t>Falah</t>
  </si>
  <si>
    <t xml:space="preserve">Venue : F&amp; B Package </t>
  </si>
  <si>
    <t>Half Day Meeting Package</t>
  </si>
  <si>
    <t>Full Day Meeting Package</t>
  </si>
  <si>
    <t>Gala Dinner</t>
  </si>
  <si>
    <t>Free flow drink: Juice, Soft drink, Beer, Wine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</si>
</sst>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[$$-409]* #,##0_ ;_-[$$-409]* \-#,##0\ ;_-[$$-409]* &quot;-&quot;_ ;_-@_ "/>
    <numFmt numFmtId="168" formatCode="_(* #,##0_);_(* \(#,##0\);_(* &quot;-&quot;??_);_(@_)"/>
    <numFmt numFmtId="169" formatCode="_([$$-409]* #,##0_);_([$$-409]* \(#,##0\);_([$$-409]* &quot;-&quot;_);_(@_)"/>
    <numFmt numFmtId="170" formatCode="_(* #,##0.0_);_(* \(#,##0.0\);_(* &quot;-&quot;_);_(@_)"/>
    <numFmt numFmtId="171" formatCode="mmm\-yyyy"/>
    <numFmt numFmtId="172" formatCode="_([$IDR]\ * #,##0_);_([$IDR]\ * \(#,##0\);_([$IDR]\ * &quot;-&quot;_);_(@_)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5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0"/>
      <name val="Tahoma"/>
      <family val="2"/>
    </font>
    <font>
      <sz val="11"/>
      <color theme="1"/>
      <name val="Aptos Narrow"/>
      <family val="2"/>
      <charset val="1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rial"/>
      <family val="2"/>
    </font>
    <font>
      <b/>
      <sz val="11"/>
      <color theme="8"/>
      <name val="Arial"/>
      <family val="2"/>
    </font>
    <font>
      <sz val="11"/>
      <color theme="8"/>
      <name val="Arial"/>
      <family val="2"/>
    </font>
    <font>
      <sz val="11"/>
      <color theme="8"/>
      <name val="Aptos Narrow"/>
      <family val="2"/>
      <scheme val="minor"/>
    </font>
    <font>
      <sz val="12"/>
      <color theme="8"/>
      <name val="Aptos"/>
      <family val="2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indexed="64"/>
      </bottom>
      <diagonal/>
    </border>
  </borders>
  <cellStyleXfs count="110">
    <xf numFmtId="0" fontId="0" fillId="0" borderId="0"/>
    <xf numFmtId="41" fontId="1" fillId="0" borderId="0" applyFont="0" applyFill="0" applyBorder="0" applyAlignment="0" applyProtection="0"/>
    <xf numFmtId="0" fontId="3" fillId="0" borderId="0" applyBorder="0"/>
    <xf numFmtId="0" fontId="3" fillId="0" borderId="0" applyBorder="0"/>
    <xf numFmtId="164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Border="0"/>
    <xf numFmtId="0" fontId="3" fillId="0" borderId="0" applyBorder="0"/>
    <xf numFmtId="0" fontId="3" fillId="0" borderId="0"/>
    <xf numFmtId="0" fontId="3" fillId="0" borderId="0"/>
    <xf numFmtId="0" fontId="3" fillId="0" borderId="0" applyBorder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 applyFont="0" applyFill="0" applyBorder="0" applyAlignment="0" applyProtection="0"/>
    <xf numFmtId="171" fontId="1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3" fillId="0" borderId="0" applyBorder="0"/>
    <xf numFmtId="0" fontId="3" fillId="0" borderId="0"/>
    <xf numFmtId="0" fontId="1" fillId="0" borderId="0"/>
    <xf numFmtId="0" fontId="3" fillId="0" borderId="0"/>
    <xf numFmtId="0" fontId="3" fillId="0" borderId="0"/>
    <xf numFmtId="0" fontId="18" fillId="0" borderId="0"/>
    <xf numFmtId="0" fontId="1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3" fillId="0" borderId="0"/>
    <xf numFmtId="0" fontId="3" fillId="0" borderId="0" applyBorder="0"/>
    <xf numFmtId="0" fontId="3" fillId="0" borderId="0"/>
    <xf numFmtId="9" fontId="3" fillId="0" borderId="0" applyFont="0" applyFill="0" applyBorder="0" applyAlignment="0" applyProtection="0"/>
    <xf numFmtId="0" fontId="3" fillId="0" borderId="0" applyBorder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15">
    <xf numFmtId="0" fontId="0" fillId="0" borderId="0" xfId="0"/>
    <xf numFmtId="0" fontId="4" fillId="2" borderId="1" xfId="2" applyFont="1" applyFill="1" applyBorder="1" applyAlignment="1">
      <alignment horizontal="center" vertical="center"/>
    </xf>
    <xf numFmtId="0" fontId="5" fillId="2" borderId="0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41" fontId="6" fillId="2" borderId="3" xfId="2" applyNumberFormat="1" applyFont="1" applyFill="1" applyBorder="1" applyAlignment="1">
      <alignment horizontal="center" vertical="center"/>
    </xf>
    <xf numFmtId="41" fontId="6" fillId="2" borderId="8" xfId="2" applyNumberFormat="1" applyFont="1" applyFill="1" applyBorder="1" applyAlignment="1">
      <alignment horizontal="center" vertical="center"/>
    </xf>
    <xf numFmtId="0" fontId="5" fillId="2" borderId="3" xfId="4" applyNumberFormat="1" applyFont="1" applyFill="1" applyBorder="1" applyAlignment="1">
      <alignment horizontal="left" vertical="center"/>
    </xf>
    <xf numFmtId="0" fontId="7" fillId="2" borderId="3" xfId="3" applyFont="1" applyFill="1" applyBorder="1" applyAlignment="1">
      <alignment horizontal="center" vertical="center"/>
    </xf>
    <xf numFmtId="0" fontId="7" fillId="2" borderId="8" xfId="3" applyFont="1" applyFill="1" applyBorder="1" applyAlignment="1">
      <alignment horizontal="center" vertical="center"/>
    </xf>
    <xf numFmtId="0" fontId="6" fillId="2" borderId="3" xfId="3" applyFont="1" applyFill="1" applyBorder="1" applyAlignment="1">
      <alignment horizontal="center" vertical="center"/>
    </xf>
    <xf numFmtId="0" fontId="6" fillId="2" borderId="8" xfId="3" applyFont="1" applyFill="1" applyBorder="1" applyAlignment="1">
      <alignment horizontal="center" vertical="center"/>
    </xf>
    <xf numFmtId="0" fontId="6" fillId="2" borderId="0" xfId="2" quotePrefix="1" applyFont="1" applyFill="1" applyBorder="1" applyAlignment="1">
      <alignment horizontal="left" vertical="center" indent="2"/>
    </xf>
    <xf numFmtId="0" fontId="5" fillId="2" borderId="9" xfId="2" applyFont="1" applyFill="1" applyBorder="1" applyAlignment="1">
      <alignment vertical="center"/>
    </xf>
    <xf numFmtId="0" fontId="5" fillId="2" borderId="2" xfId="2" applyFont="1" applyFill="1" applyBorder="1" applyAlignment="1">
      <alignment vertical="center"/>
    </xf>
    <xf numFmtId="41" fontId="5" fillId="2" borderId="2" xfId="2" applyNumberFormat="1" applyFont="1" applyFill="1" applyBorder="1" applyAlignment="1">
      <alignment vertical="center"/>
    </xf>
    <xf numFmtId="0" fontId="5" fillId="2" borderId="10" xfId="2" applyFont="1" applyFill="1" applyBorder="1" applyAlignment="1">
      <alignment vertical="center"/>
    </xf>
    <xf numFmtId="0" fontId="5" fillId="2" borderId="11" xfId="2" applyFont="1" applyFill="1" applyBorder="1" applyAlignment="1">
      <alignment horizontal="left" vertical="center"/>
    </xf>
    <xf numFmtId="0" fontId="6" fillId="2" borderId="12" xfId="2" applyFont="1" applyFill="1" applyBorder="1" applyAlignment="1">
      <alignment vertical="center"/>
    </xf>
    <xf numFmtId="0" fontId="6" fillId="2" borderId="13" xfId="2" applyFont="1" applyFill="1" applyBorder="1" applyAlignment="1">
      <alignment vertical="center"/>
    </xf>
    <xf numFmtId="41" fontId="6" fillId="2" borderId="13" xfId="2" applyNumberFormat="1" applyFont="1" applyFill="1" applyBorder="1" applyAlignment="1">
      <alignment vertical="center"/>
    </xf>
    <xf numFmtId="0" fontId="5" fillId="2" borderId="14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left" vertical="center"/>
    </xf>
    <xf numFmtId="0" fontId="6" fillId="2" borderId="16" xfId="2" applyFont="1" applyFill="1" applyBorder="1" applyAlignment="1">
      <alignment vertical="center"/>
    </xf>
    <xf numFmtId="0" fontId="6" fillId="2" borderId="17" xfId="2" applyFont="1" applyFill="1" applyBorder="1" applyAlignment="1">
      <alignment vertical="center"/>
    </xf>
    <xf numFmtId="41" fontId="6" fillId="2" borderId="17" xfId="2" applyNumberFormat="1" applyFont="1" applyFill="1" applyBorder="1" applyAlignment="1">
      <alignment vertical="center"/>
    </xf>
    <xf numFmtId="0" fontId="6" fillId="2" borderId="0" xfId="2" quotePrefix="1" applyFont="1" applyFill="1" applyBorder="1" applyAlignment="1">
      <alignment horizontal="left" vertical="center" indent="1"/>
    </xf>
    <xf numFmtId="0" fontId="5" fillId="2" borderId="0" xfId="2" applyFont="1" applyFill="1" applyBorder="1" applyAlignment="1">
      <alignment horizontal="left" vertical="center"/>
    </xf>
    <xf numFmtId="0" fontId="5" fillId="2" borderId="12" xfId="2" applyFont="1" applyFill="1" applyBorder="1" applyAlignment="1">
      <alignment horizontal="left" vertical="center"/>
    </xf>
    <xf numFmtId="0" fontId="5" fillId="2" borderId="16" xfId="2" applyFont="1" applyFill="1" applyBorder="1" applyAlignment="1">
      <alignment horizontal="left" vertical="center"/>
    </xf>
    <xf numFmtId="0" fontId="5" fillId="3" borderId="0" xfId="6" quotePrefix="1" applyNumberFormat="1" applyFont="1" applyFill="1" applyBorder="1" applyAlignment="1">
      <alignment horizontal="left" vertical="center" wrapText="1" indent="1"/>
    </xf>
    <xf numFmtId="0" fontId="5" fillId="3" borderId="0" xfId="6" applyNumberFormat="1" applyFont="1" applyFill="1" applyBorder="1" applyAlignment="1">
      <alignment horizontal="left" vertical="center" wrapText="1"/>
    </xf>
    <xf numFmtId="0" fontId="6" fillId="2" borderId="3" xfId="4" applyNumberFormat="1" applyFont="1" applyFill="1" applyBorder="1" applyAlignment="1">
      <alignment horizontal="left" vertical="center"/>
    </xf>
    <xf numFmtId="0" fontId="6" fillId="2" borderId="3" xfId="6" applyNumberFormat="1" applyFont="1" applyFill="1" applyBorder="1" applyAlignment="1">
      <alignment horizontal="center" vertical="center"/>
    </xf>
    <xf numFmtId="0" fontId="6" fillId="2" borderId="3" xfId="6" applyNumberFormat="1" applyFont="1" applyFill="1" applyBorder="1" applyAlignment="1">
      <alignment horizontal="left" vertical="center" indent="1"/>
    </xf>
    <xf numFmtId="0" fontId="10" fillId="2" borderId="6" xfId="3" applyFont="1" applyFill="1" applyBorder="1" applyAlignment="1">
      <alignment horizontal="center" vertical="center"/>
    </xf>
    <xf numFmtId="0" fontId="8" fillId="2" borderId="3" xfId="6" applyNumberFormat="1" applyFont="1" applyFill="1" applyBorder="1" applyAlignment="1">
      <alignment horizontal="left" vertical="center" indent="1"/>
    </xf>
    <xf numFmtId="0" fontId="8" fillId="2" borderId="3" xfId="3" applyFont="1" applyFill="1" applyBorder="1" applyAlignment="1">
      <alignment horizontal="center" vertical="center"/>
    </xf>
    <xf numFmtId="0" fontId="8" fillId="2" borderId="3" xfId="6" applyNumberFormat="1" applyFont="1" applyFill="1" applyBorder="1" applyAlignment="1">
      <alignment horizontal="center" vertical="center"/>
    </xf>
    <xf numFmtId="0" fontId="6" fillId="2" borderId="3" xfId="6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left" vertical="center" wrapText="1"/>
    </xf>
    <xf numFmtId="0" fontId="6" fillId="2" borderId="8" xfId="2" applyFont="1" applyFill="1" applyBorder="1" applyAlignment="1">
      <alignment horizontal="center" vertical="center"/>
    </xf>
    <xf numFmtId="0" fontId="11" fillId="2" borderId="3" xfId="2" applyFont="1" applyFill="1" applyBorder="1" applyAlignment="1">
      <alignment horizontal="center" vertical="center"/>
    </xf>
    <xf numFmtId="0" fontId="8" fillId="2" borderId="8" xfId="3" applyFont="1" applyFill="1" applyBorder="1" applyAlignment="1">
      <alignment horizontal="center" vertical="center"/>
    </xf>
    <xf numFmtId="0" fontId="10" fillId="2" borderId="14" xfId="2" applyFont="1" applyFill="1" applyBorder="1" applyAlignment="1">
      <alignment horizontal="center" vertical="center"/>
    </xf>
    <xf numFmtId="0" fontId="10" fillId="2" borderId="14" xfId="3" applyFont="1" applyFill="1" applyBorder="1" applyAlignment="1">
      <alignment horizontal="center" vertical="center"/>
    </xf>
    <xf numFmtId="0" fontId="11" fillId="2" borderId="3" xfId="3" applyFont="1" applyFill="1" applyBorder="1" applyAlignment="1">
      <alignment horizontal="center" vertical="center"/>
    </xf>
    <xf numFmtId="0" fontId="11" fillId="2" borderId="19" xfId="3" applyFont="1" applyFill="1" applyBorder="1" applyAlignment="1">
      <alignment horizontal="center" vertical="center"/>
    </xf>
    <xf numFmtId="0" fontId="5" fillId="2" borderId="14" xfId="3" applyFont="1" applyFill="1" applyBorder="1" applyAlignment="1">
      <alignment horizontal="center" vertical="center"/>
    </xf>
    <xf numFmtId="0" fontId="5" fillId="3" borderId="3" xfId="6" quotePrefix="1" applyNumberFormat="1" applyFont="1" applyFill="1" applyBorder="1" applyAlignment="1">
      <alignment vertical="center" wrapText="1"/>
    </xf>
    <xf numFmtId="0" fontId="6" fillId="3" borderId="3" xfId="6" quotePrefix="1" applyNumberFormat="1" applyFont="1" applyFill="1" applyBorder="1" applyAlignment="1">
      <alignment horizontal="left" vertical="center" wrapText="1" indent="1"/>
    </xf>
    <xf numFmtId="0" fontId="5" fillId="2" borderId="8" xfId="4" applyNumberFormat="1" applyFont="1" applyFill="1" applyBorder="1" applyAlignment="1">
      <alignment horizontal="left" vertical="center"/>
    </xf>
    <xf numFmtId="0" fontId="6" fillId="2" borderId="8" xfId="4" quotePrefix="1" applyNumberFormat="1" applyFont="1" applyFill="1" applyBorder="1" applyAlignment="1">
      <alignment horizontal="left" vertical="center" indent="1"/>
    </xf>
    <xf numFmtId="0" fontId="6" fillId="2" borderId="3" xfId="4" quotePrefix="1" applyNumberFormat="1" applyFont="1" applyFill="1" applyBorder="1" applyAlignment="1">
      <alignment horizontal="left" vertical="center" indent="1"/>
    </xf>
    <xf numFmtId="0" fontId="5" fillId="2" borderId="20" xfId="2" applyFont="1" applyFill="1" applyBorder="1" applyAlignment="1">
      <alignment horizontal="center" vertical="center"/>
    </xf>
    <xf numFmtId="0" fontId="5" fillId="2" borderId="18" xfId="2" applyFont="1" applyFill="1" applyBorder="1" applyAlignment="1">
      <alignment vertical="center"/>
    </xf>
    <xf numFmtId="0" fontId="5" fillId="2" borderId="0" xfId="4" applyNumberFormat="1" applyFont="1" applyFill="1" applyBorder="1" applyAlignment="1">
      <alignment horizontal="left" vertical="center"/>
    </xf>
    <xf numFmtId="0" fontId="6" fillId="2" borderId="0" xfId="4" quotePrefix="1" applyNumberFormat="1" applyFont="1" applyFill="1" applyBorder="1" applyAlignment="1">
      <alignment horizontal="left" vertical="center" indent="1"/>
    </xf>
    <xf numFmtId="0" fontId="6" fillId="2" borderId="0" xfId="3" applyFont="1" applyFill="1" applyBorder="1" applyAlignment="1">
      <alignment horizontal="center" vertical="center"/>
    </xf>
    <xf numFmtId="0" fontId="5" fillId="2" borderId="25" xfId="2" applyFont="1" applyFill="1" applyBorder="1" applyAlignment="1">
      <alignment horizontal="left" vertical="center"/>
    </xf>
    <xf numFmtId="0" fontId="6" fillId="2" borderId="25" xfId="2" quotePrefix="1" applyFont="1" applyFill="1" applyBorder="1" applyAlignment="1">
      <alignment horizontal="left" vertical="center" indent="1"/>
    </xf>
    <xf numFmtId="0" fontId="5" fillId="3" borderId="25" xfId="6" quotePrefix="1" applyNumberFormat="1" applyFont="1" applyFill="1" applyBorder="1" applyAlignment="1">
      <alignment horizontal="left" vertical="center" wrapText="1" indent="1"/>
    </xf>
    <xf numFmtId="0" fontId="5" fillId="3" borderId="25" xfId="6" applyNumberFormat="1" applyFont="1" applyFill="1" applyBorder="1" applyAlignment="1">
      <alignment horizontal="left" vertical="center" wrapText="1"/>
    </xf>
    <xf numFmtId="0" fontId="5" fillId="2" borderId="25" xfId="4" applyNumberFormat="1" applyFont="1" applyFill="1" applyBorder="1" applyAlignment="1">
      <alignment horizontal="left" vertical="center"/>
    </xf>
    <xf numFmtId="0" fontId="6" fillId="2" borderId="25" xfId="4" applyNumberFormat="1" applyFont="1" applyFill="1" applyBorder="1" applyAlignment="1">
      <alignment horizontal="left" vertical="center" indent="1"/>
    </xf>
    <xf numFmtId="0" fontId="6" fillId="2" borderId="25" xfId="4" applyNumberFormat="1" applyFont="1" applyFill="1" applyBorder="1" applyAlignment="1">
      <alignment horizontal="left" vertical="center"/>
    </xf>
    <xf numFmtId="0" fontId="6" fillId="2" borderId="25" xfId="6" applyNumberFormat="1" applyFont="1" applyFill="1" applyBorder="1" applyAlignment="1">
      <alignment horizontal="left" vertical="center" indent="1"/>
    </xf>
    <xf numFmtId="0" fontId="6" fillId="2" borderId="25" xfId="6" applyNumberFormat="1" applyFont="1" applyFill="1" applyBorder="1" applyAlignment="1">
      <alignment vertical="center"/>
    </xf>
    <xf numFmtId="0" fontId="5" fillId="2" borderId="25" xfId="6" applyNumberFormat="1" applyFont="1" applyFill="1" applyBorder="1" applyAlignment="1">
      <alignment vertical="center"/>
    </xf>
    <xf numFmtId="0" fontId="8" fillId="2" borderId="25" xfId="0" applyFont="1" applyFill="1" applyBorder="1" applyAlignment="1">
      <alignment horizontal="left" vertical="center" wrapText="1"/>
    </xf>
    <xf numFmtId="0" fontId="10" fillId="2" borderId="25" xfId="0" quotePrefix="1" applyFont="1" applyFill="1" applyBorder="1" applyAlignment="1">
      <alignment horizontal="left" vertical="center" wrapText="1" indent="1"/>
    </xf>
    <xf numFmtId="0" fontId="8" fillId="2" borderId="25" xfId="0" quotePrefix="1" applyFont="1" applyFill="1" applyBorder="1" applyAlignment="1">
      <alignment horizontal="left" vertical="center" wrapText="1" indent="2"/>
    </xf>
    <xf numFmtId="0" fontId="10" fillId="2" borderId="25" xfId="0" quotePrefix="1" applyFont="1" applyFill="1" applyBorder="1" applyAlignment="1">
      <alignment horizontal="left" vertical="center" wrapText="1"/>
    </xf>
    <xf numFmtId="0" fontId="8" fillId="3" borderId="25" xfId="6" applyNumberFormat="1" applyFont="1" applyFill="1" applyBorder="1" applyAlignment="1">
      <alignment horizontal="left" vertical="center" wrapText="1" indent="2"/>
    </xf>
    <xf numFmtId="0" fontId="6" fillId="2" borderId="25" xfId="0" quotePrefix="1" applyFont="1" applyFill="1" applyBorder="1" applyAlignment="1">
      <alignment horizontal="left" vertical="center" wrapText="1" indent="2"/>
    </xf>
    <xf numFmtId="0" fontId="5" fillId="3" borderId="25" xfId="6" quotePrefix="1" applyNumberFormat="1" applyFont="1" applyFill="1" applyBorder="1" applyAlignment="1">
      <alignment vertical="center" wrapText="1"/>
    </xf>
    <xf numFmtId="0" fontId="6" fillId="3" borderId="25" xfId="6" quotePrefix="1" applyNumberFormat="1" applyFont="1" applyFill="1" applyBorder="1" applyAlignment="1">
      <alignment horizontal="left" vertical="center" wrapText="1" indent="1"/>
    </xf>
    <xf numFmtId="0" fontId="6" fillId="3" borderId="25" xfId="6" quotePrefix="1" applyNumberFormat="1" applyFont="1" applyFill="1" applyBorder="1" applyAlignment="1">
      <alignment vertical="center" wrapText="1"/>
    </xf>
    <xf numFmtId="0" fontId="6" fillId="2" borderId="25" xfId="4" quotePrefix="1" applyNumberFormat="1" applyFont="1" applyFill="1" applyBorder="1" applyAlignment="1">
      <alignment horizontal="left" vertical="center" indent="1"/>
    </xf>
    <xf numFmtId="0" fontId="6" fillId="2" borderId="26" xfId="6" applyNumberFormat="1" applyFont="1" applyFill="1" applyBorder="1" applyAlignment="1">
      <alignment horizontal="left" vertical="center"/>
    </xf>
    <xf numFmtId="0" fontId="6" fillId="2" borderId="25" xfId="2" applyFont="1" applyFill="1" applyBorder="1" applyAlignment="1">
      <alignment horizontal="center" vertical="center"/>
    </xf>
    <xf numFmtId="0" fontId="6" fillId="2" borderId="25" xfId="3" applyFont="1" applyFill="1" applyBorder="1" applyAlignment="1">
      <alignment horizontal="center" vertical="center"/>
    </xf>
    <xf numFmtId="41" fontId="6" fillId="2" borderId="25" xfId="2" applyNumberFormat="1" applyFont="1" applyFill="1" applyBorder="1" applyAlignment="1">
      <alignment horizontal="center" vertical="center"/>
    </xf>
    <xf numFmtId="0" fontId="7" fillId="2" borderId="25" xfId="3" applyFont="1" applyFill="1" applyBorder="1" applyAlignment="1">
      <alignment horizontal="center" vertical="center"/>
    </xf>
    <xf numFmtId="0" fontId="8" fillId="2" borderId="25" xfId="3" applyFont="1" applyFill="1" applyBorder="1" applyAlignment="1">
      <alignment horizontal="center" vertical="center"/>
    </xf>
    <xf numFmtId="0" fontId="11" fillId="2" borderId="25" xfId="2" applyFont="1" applyFill="1" applyBorder="1" applyAlignment="1">
      <alignment horizontal="center" vertical="center"/>
    </xf>
    <xf numFmtId="0" fontId="6" fillId="2" borderId="26" xfId="2" applyFont="1" applyFill="1" applyBorder="1" applyAlignment="1">
      <alignment horizontal="center" vertical="center"/>
    </xf>
    <xf numFmtId="41" fontId="7" fillId="2" borderId="25" xfId="5" applyNumberFormat="1" applyFont="1" applyFill="1" applyBorder="1" applyAlignment="1">
      <alignment vertical="center"/>
    </xf>
    <xf numFmtId="164" fontId="7" fillId="2" borderId="25" xfId="4" applyFont="1" applyFill="1" applyBorder="1" applyAlignment="1">
      <alignment horizontal="center" vertical="center"/>
    </xf>
    <xf numFmtId="0" fontId="6" fillId="2" borderId="25" xfId="6" applyNumberFormat="1" applyFont="1" applyFill="1" applyBorder="1" applyAlignment="1">
      <alignment horizontal="center" vertical="center"/>
    </xf>
    <xf numFmtId="0" fontId="8" fillId="2" borderId="25" xfId="6" applyNumberFormat="1" applyFont="1" applyFill="1" applyBorder="1" applyAlignment="1">
      <alignment horizontal="center" vertical="center"/>
    </xf>
    <xf numFmtId="167" fontId="6" fillId="2" borderId="26" xfId="5" applyNumberFormat="1" applyFont="1" applyFill="1" applyBorder="1" applyAlignment="1">
      <alignment vertical="center"/>
    </xf>
    <xf numFmtId="0" fontId="5" fillId="2" borderId="24" xfId="2" applyFont="1" applyFill="1" applyBorder="1" applyAlignment="1">
      <alignment vertical="center"/>
    </xf>
    <xf numFmtId="0" fontId="5" fillId="2" borderId="25" xfId="2" applyFont="1" applyFill="1" applyBorder="1" applyAlignment="1">
      <alignment horizontal="center" vertical="center"/>
    </xf>
    <xf numFmtId="0" fontId="5" fillId="2" borderId="26" xfId="2" applyFont="1" applyFill="1" applyBorder="1" applyAlignment="1">
      <alignment horizontal="center" vertical="center"/>
    </xf>
    <xf numFmtId="0" fontId="5" fillId="2" borderId="0" xfId="2" applyFont="1" applyFill="1" applyBorder="1" applyAlignment="1">
      <alignment vertical="center"/>
    </xf>
    <xf numFmtId="0" fontId="5" fillId="2" borderId="5" xfId="2" applyFont="1" applyFill="1" applyBorder="1" applyAlignment="1">
      <alignment vertical="center"/>
    </xf>
    <xf numFmtId="0" fontId="5" fillId="2" borderId="29" xfId="2" applyFont="1" applyFill="1" applyBorder="1" applyAlignment="1">
      <alignment horizontal="left" vertical="center"/>
    </xf>
    <xf numFmtId="0" fontId="6" fillId="2" borderId="30" xfId="2" applyFont="1" applyFill="1" applyBorder="1" applyAlignment="1">
      <alignment vertical="center"/>
    </xf>
    <xf numFmtId="0" fontId="6" fillId="2" borderId="31" xfId="2" applyFont="1" applyFill="1" applyBorder="1" applyAlignment="1">
      <alignment vertical="center"/>
    </xf>
    <xf numFmtId="0" fontId="5" fillId="2" borderId="32" xfId="2" applyFont="1" applyFill="1" applyBorder="1" applyAlignment="1">
      <alignment horizontal="left" vertical="center"/>
    </xf>
    <xf numFmtId="0" fontId="6" fillId="2" borderId="33" xfId="2" applyFont="1" applyFill="1" applyBorder="1" applyAlignment="1">
      <alignment vertical="center"/>
    </xf>
    <xf numFmtId="0" fontId="5" fillId="2" borderId="34" xfId="2" applyFont="1" applyFill="1" applyBorder="1" applyAlignment="1">
      <alignment horizontal="left" vertical="center"/>
    </xf>
    <xf numFmtId="0" fontId="6" fillId="2" borderId="35" xfId="2" applyFont="1" applyFill="1" applyBorder="1" applyAlignment="1">
      <alignment vertical="center"/>
    </xf>
    <xf numFmtId="0" fontId="6" fillId="2" borderId="36" xfId="2" applyFont="1" applyFill="1" applyBorder="1" applyAlignment="1">
      <alignment vertical="center"/>
    </xf>
    <xf numFmtId="41" fontId="6" fillId="2" borderId="39" xfId="2" applyNumberFormat="1" applyFont="1" applyFill="1" applyBorder="1" applyAlignment="1">
      <alignment vertical="center"/>
    </xf>
    <xf numFmtId="41" fontId="6" fillId="2" borderId="40" xfId="2" applyNumberFormat="1" applyFont="1" applyFill="1" applyBorder="1" applyAlignment="1">
      <alignment vertical="center"/>
    </xf>
    <xf numFmtId="0" fontId="8" fillId="2" borderId="25" xfId="6" applyNumberFormat="1" applyFont="1" applyFill="1" applyBorder="1" applyAlignment="1">
      <alignment horizontal="left" vertical="center" wrapText="1" indent="1"/>
    </xf>
    <xf numFmtId="0" fontId="6" fillId="2" borderId="25" xfId="4" applyNumberFormat="1" applyFont="1" applyFill="1" applyBorder="1" applyAlignment="1">
      <alignment horizontal="left" vertical="center" wrapText="1" indent="1"/>
    </xf>
    <xf numFmtId="0" fontId="5" fillId="6" borderId="25" xfId="6" applyNumberFormat="1" applyFont="1" applyFill="1" applyBorder="1" applyAlignment="1">
      <alignment horizontal="left" vertical="center" wrapText="1"/>
    </xf>
    <xf numFmtId="0" fontId="8" fillId="2" borderId="3" xfId="4" applyNumberFormat="1" applyFont="1" applyFill="1" applyBorder="1" applyAlignment="1">
      <alignment horizontal="left" vertical="center" indent="1"/>
    </xf>
    <xf numFmtId="0" fontId="5" fillId="2" borderId="20" xfId="2" applyFont="1" applyFill="1" applyBorder="1" applyAlignment="1">
      <alignment vertical="center"/>
    </xf>
    <xf numFmtId="0" fontId="5" fillId="2" borderId="25" xfId="3" applyFont="1" applyFill="1" applyBorder="1" applyAlignment="1">
      <alignment horizontal="center" vertical="center"/>
    </xf>
    <xf numFmtId="0" fontId="6" fillId="2" borderId="3" xfId="3" applyFont="1" applyFill="1" applyBorder="1" applyAlignment="1">
      <alignment horizontal="center"/>
    </xf>
    <xf numFmtId="0" fontId="6" fillId="2" borderId="8" xfId="3" applyFont="1" applyFill="1" applyBorder="1" applyAlignment="1">
      <alignment horizontal="center"/>
    </xf>
    <xf numFmtId="164" fontId="6" fillId="2" borderId="8" xfId="4" applyFont="1" applyFill="1" applyBorder="1" applyAlignment="1"/>
    <xf numFmtId="0" fontId="0" fillId="0" borderId="25" xfId="0" applyBorder="1"/>
    <xf numFmtId="0" fontId="0" fillId="0" borderId="26" xfId="0" applyBorder="1"/>
    <xf numFmtId="0" fontId="5" fillId="2" borderId="21" xfId="2" applyFont="1" applyFill="1" applyBorder="1" applyAlignment="1">
      <alignment horizontal="center" vertical="center"/>
    </xf>
    <xf numFmtId="0" fontId="6" fillId="2" borderId="24" xfId="3" applyFont="1" applyFill="1" applyBorder="1" applyAlignment="1">
      <alignment horizontal="center"/>
    </xf>
    <xf numFmtId="0" fontId="6" fillId="2" borderId="25" xfId="3" applyFont="1" applyFill="1" applyBorder="1" applyAlignment="1">
      <alignment horizontal="center"/>
    </xf>
    <xf numFmtId="0" fontId="6" fillId="2" borderId="26" xfId="3" applyFont="1" applyFill="1" applyBorder="1" applyAlignment="1">
      <alignment horizontal="center"/>
    </xf>
    <xf numFmtId="0" fontId="5" fillId="2" borderId="28" xfId="2" applyFont="1" applyFill="1" applyBorder="1" applyAlignment="1">
      <alignment horizontal="center" vertical="center"/>
    </xf>
    <xf numFmtId="164" fontId="6" fillId="2" borderId="25" xfId="4" quotePrefix="1" applyFont="1" applyFill="1" applyBorder="1" applyAlignment="1"/>
    <xf numFmtId="164" fontId="6" fillId="2" borderId="26" xfId="4" applyFont="1" applyFill="1" applyBorder="1" applyAlignment="1"/>
    <xf numFmtId="0" fontId="5" fillId="2" borderId="30" xfId="2" applyFont="1" applyFill="1" applyBorder="1" applyAlignment="1">
      <alignment vertical="center"/>
    </xf>
    <xf numFmtId="0" fontId="5" fillId="2" borderId="31" xfId="2" applyFont="1" applyFill="1" applyBorder="1" applyAlignment="1">
      <alignment vertical="center"/>
    </xf>
    <xf numFmtId="41" fontId="5" fillId="2" borderId="38" xfId="2" applyNumberFormat="1" applyFont="1" applyFill="1" applyBorder="1" applyAlignment="1">
      <alignment vertical="center"/>
    </xf>
    <xf numFmtId="0" fontId="8" fillId="0" borderId="8" xfId="3" applyFont="1" applyBorder="1" applyAlignment="1">
      <alignment horizontal="center" vertical="center"/>
    </xf>
    <xf numFmtId="0" fontId="6" fillId="3" borderId="0" xfId="6" applyNumberFormat="1" applyFont="1" applyFill="1" applyBorder="1" applyAlignment="1">
      <alignment horizontal="left" vertical="center" wrapText="1" indent="1"/>
    </xf>
    <xf numFmtId="0" fontId="5" fillId="2" borderId="25" xfId="2" applyFont="1" applyFill="1" applyBorder="1" applyAlignment="1">
      <alignment horizontal="center"/>
    </xf>
    <xf numFmtId="164" fontId="5" fillId="3" borderId="24" xfId="6" quotePrefix="1" applyFont="1" applyFill="1" applyBorder="1" applyAlignment="1"/>
    <xf numFmtId="0" fontId="5" fillId="2" borderId="23" xfId="2" applyFont="1" applyFill="1" applyBorder="1" applyAlignment="1">
      <alignment horizontal="center" vertical="center"/>
    </xf>
    <xf numFmtId="0" fontId="5" fillId="2" borderId="44" xfId="2" applyFont="1" applyFill="1" applyBorder="1" applyAlignment="1">
      <alignment horizontal="center" vertical="center"/>
    </xf>
    <xf numFmtId="0" fontId="5" fillId="2" borderId="45" xfId="2" applyFont="1" applyFill="1" applyBorder="1" applyAlignment="1">
      <alignment horizontal="center" vertical="center"/>
    </xf>
    <xf numFmtId="0" fontId="5" fillId="2" borderId="46" xfId="2" applyFont="1" applyFill="1" applyBorder="1" applyAlignment="1">
      <alignment horizontal="center" vertical="center"/>
    </xf>
    <xf numFmtId="0" fontId="5" fillId="2" borderId="47" xfId="2" applyFont="1" applyFill="1" applyBorder="1" applyAlignment="1">
      <alignment horizontal="center" vertical="center"/>
    </xf>
    <xf numFmtId="0" fontId="5" fillId="2" borderId="47" xfId="3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41" xfId="2" applyFont="1" applyFill="1" applyBorder="1" applyAlignment="1">
      <alignment horizontal="center" vertical="center"/>
    </xf>
    <xf numFmtId="0" fontId="5" fillId="2" borderId="41" xfId="3" applyFont="1" applyFill="1" applyBorder="1" applyAlignment="1">
      <alignment horizontal="center" vertical="center"/>
    </xf>
    <xf numFmtId="0" fontId="5" fillId="2" borderId="42" xfId="2" applyFont="1" applyFill="1" applyBorder="1" applyAlignment="1">
      <alignment horizontal="center" vertical="center"/>
    </xf>
    <xf numFmtId="0" fontId="5" fillId="6" borderId="7" xfId="6" applyNumberFormat="1" applyFont="1" applyFill="1" applyBorder="1" applyAlignment="1">
      <alignment horizontal="left" vertical="center" wrapText="1"/>
    </xf>
    <xf numFmtId="0" fontId="6" fillId="2" borderId="8" xfId="6" applyNumberFormat="1" applyFont="1" applyFill="1" applyBorder="1" applyAlignment="1">
      <alignment horizontal="center" vertical="center"/>
    </xf>
    <xf numFmtId="0" fontId="5" fillId="2" borderId="48" xfId="2" applyFont="1" applyFill="1" applyBorder="1" applyAlignment="1">
      <alignment horizontal="center" vertical="center"/>
    </xf>
    <xf numFmtId="0" fontId="5" fillId="7" borderId="47" xfId="2" applyFont="1" applyFill="1" applyBorder="1" applyAlignment="1">
      <alignment horizontal="center" vertical="center"/>
    </xf>
    <xf numFmtId="0" fontId="10" fillId="2" borderId="47" xfId="3" applyFont="1" applyFill="1" applyBorder="1" applyAlignment="1">
      <alignment horizontal="center" vertical="center"/>
    </xf>
    <xf numFmtId="0" fontId="5" fillId="2" borderId="49" xfId="2" applyFont="1" applyFill="1" applyBorder="1" applyAlignment="1">
      <alignment horizontal="center" vertical="center"/>
    </xf>
    <xf numFmtId="0" fontId="12" fillId="2" borderId="41" xfId="3" applyFont="1" applyFill="1" applyBorder="1" applyAlignment="1">
      <alignment horizontal="center" vertical="center"/>
    </xf>
    <xf numFmtId="0" fontId="12" fillId="2" borderId="41" xfId="2" applyFont="1" applyFill="1" applyBorder="1" applyAlignment="1">
      <alignment horizontal="center" vertical="center"/>
    </xf>
    <xf numFmtId="0" fontId="5" fillId="2" borderId="47" xfId="2" applyFont="1" applyFill="1" applyBorder="1" applyAlignment="1">
      <alignment horizontal="center"/>
    </xf>
    <xf numFmtId="0" fontId="5" fillId="2" borderId="50" xfId="2" applyFont="1" applyFill="1" applyBorder="1" applyAlignment="1">
      <alignment horizontal="center" vertical="center"/>
    </xf>
    <xf numFmtId="0" fontId="6" fillId="2" borderId="22" xfId="2" quotePrefix="1" applyFont="1" applyFill="1" applyBorder="1" applyAlignment="1">
      <alignment horizontal="left" vertical="center" indent="2"/>
    </xf>
    <xf numFmtId="0" fontId="6" fillId="2" borderId="51" xfId="2" applyFont="1" applyFill="1" applyBorder="1" applyAlignment="1">
      <alignment horizontal="center" vertical="center"/>
    </xf>
    <xf numFmtId="0" fontId="5" fillId="2" borderId="3" xfId="3" applyFont="1" applyFill="1" applyBorder="1" applyAlignment="1">
      <alignment horizontal="center" vertical="center"/>
    </xf>
    <xf numFmtId="0" fontId="5" fillId="2" borderId="3" xfId="6" applyNumberFormat="1" applyFont="1" applyFill="1" applyBorder="1" applyAlignment="1">
      <alignment horizontal="center" vertical="center"/>
    </xf>
    <xf numFmtId="0" fontId="10" fillId="2" borderId="3" xfId="3" applyFont="1" applyFill="1" applyBorder="1" applyAlignment="1">
      <alignment horizontal="center" vertical="center"/>
    </xf>
    <xf numFmtId="0" fontId="10" fillId="2" borderId="3" xfId="6" applyNumberFormat="1" applyFont="1" applyFill="1" applyBorder="1" applyAlignment="1">
      <alignment horizontal="center" vertical="center"/>
    </xf>
    <xf numFmtId="0" fontId="5" fillId="2" borderId="0" xfId="2" quotePrefix="1" applyFont="1" applyFill="1" applyBorder="1" applyAlignment="1">
      <alignment horizontal="left" vertical="center"/>
    </xf>
    <xf numFmtId="0" fontId="4" fillId="2" borderId="52" xfId="2" applyFont="1" applyFill="1" applyBorder="1" applyAlignment="1">
      <alignment horizontal="center" vertical="center"/>
    </xf>
    <xf numFmtId="0" fontId="5" fillId="2" borderId="53" xfId="2" applyFont="1" applyFill="1" applyBorder="1" applyAlignment="1">
      <alignment horizontal="center" vertical="center"/>
    </xf>
    <xf numFmtId="0" fontId="5" fillId="2" borderId="48" xfId="3" applyFont="1" applyFill="1" applyBorder="1" applyAlignment="1">
      <alignment horizontal="center" vertical="center"/>
    </xf>
    <xf numFmtId="0" fontId="10" fillId="0" borderId="48" xfId="2" applyFont="1" applyBorder="1" applyAlignment="1">
      <alignment horizontal="center" vertical="center"/>
    </xf>
    <xf numFmtId="0" fontId="5" fillId="2" borderId="54" xfId="2" applyFont="1" applyFill="1" applyBorder="1" applyAlignment="1">
      <alignment horizontal="center" vertical="center"/>
    </xf>
    <xf numFmtId="0" fontId="6" fillId="2" borderId="55" xfId="2" applyFont="1" applyFill="1" applyBorder="1" applyAlignment="1">
      <alignment vertical="center"/>
    </xf>
    <xf numFmtId="41" fontId="6" fillId="2" borderId="56" xfId="2" applyNumberFormat="1" applyFont="1" applyFill="1" applyBorder="1" applyAlignment="1">
      <alignment vertical="center"/>
    </xf>
    <xf numFmtId="0" fontId="0" fillId="2" borderId="0" xfId="0" applyFill="1"/>
    <xf numFmtId="41" fontId="0" fillId="0" borderId="0" xfId="0" applyNumberFormat="1"/>
    <xf numFmtId="0" fontId="5" fillId="0" borderId="48" xfId="2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41" fontId="8" fillId="2" borderId="5" xfId="5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left" vertical="center"/>
    </xf>
    <xf numFmtId="0" fontId="10" fillId="2" borderId="3" xfId="0" quotePrefix="1" applyFont="1" applyFill="1" applyBorder="1" applyAlignment="1">
      <alignment horizontal="left" vertical="center" wrapText="1" indent="1"/>
    </xf>
    <xf numFmtId="0" fontId="11" fillId="2" borderId="57" xfId="2" applyFont="1" applyFill="1" applyBorder="1" applyAlignment="1">
      <alignment horizontal="center" vertical="center"/>
    </xf>
    <xf numFmtId="0" fontId="11" fillId="2" borderId="58" xfId="2" applyFont="1" applyFill="1" applyBorder="1" applyAlignment="1">
      <alignment horizontal="center" vertical="center"/>
    </xf>
    <xf numFmtId="0" fontId="10" fillId="2" borderId="41" xfId="2" applyFont="1" applyFill="1" applyBorder="1" applyAlignment="1">
      <alignment horizontal="center" vertical="center"/>
    </xf>
    <xf numFmtId="0" fontId="8" fillId="2" borderId="3" xfId="0" quotePrefix="1" applyFont="1" applyFill="1" applyBorder="1" applyAlignment="1">
      <alignment horizontal="left" vertical="center" wrapText="1" indent="2"/>
    </xf>
    <xf numFmtId="0" fontId="10" fillId="2" borderId="3" xfId="0" quotePrefix="1" applyFont="1" applyFill="1" applyBorder="1" applyAlignment="1">
      <alignment horizontal="left" vertical="center" wrapText="1" indent="2"/>
    </xf>
    <xf numFmtId="0" fontId="8" fillId="2" borderId="8" xfId="0" quotePrefix="1" applyFont="1" applyFill="1" applyBorder="1" applyAlignment="1">
      <alignment horizontal="left" vertical="center" wrapText="1" indent="2"/>
    </xf>
    <xf numFmtId="0" fontId="10" fillId="2" borderId="8" xfId="0" quotePrefix="1" applyFont="1" applyFill="1" applyBorder="1" applyAlignment="1">
      <alignment horizontal="left" vertical="center" wrapText="1" indent="2"/>
    </xf>
    <xf numFmtId="0" fontId="10" fillId="2" borderId="47" xfId="2" applyFont="1" applyFill="1" applyBorder="1" applyAlignment="1">
      <alignment horizontal="center" vertical="center"/>
    </xf>
    <xf numFmtId="0" fontId="10" fillId="2" borderId="57" xfId="0" quotePrefix="1" applyFont="1" applyFill="1" applyBorder="1" applyAlignment="1">
      <alignment horizontal="left" vertical="center" wrapText="1" indent="2"/>
    </xf>
    <xf numFmtId="0" fontId="8" fillId="2" borderId="57" xfId="0" quotePrefix="1" applyFont="1" applyFill="1" applyBorder="1" applyAlignment="1">
      <alignment horizontal="left" vertical="center" wrapText="1" indent="2"/>
    </xf>
    <xf numFmtId="0" fontId="6" fillId="2" borderId="8" xfId="4" applyNumberFormat="1" applyFont="1" applyFill="1" applyBorder="1" applyAlignment="1">
      <alignment horizontal="left" vertical="center" indent="1"/>
    </xf>
    <xf numFmtId="0" fontId="6" fillId="2" borderId="3" xfId="0" quotePrefix="1" applyFont="1" applyFill="1" applyBorder="1" applyAlignment="1">
      <alignment horizontal="left" vertical="center" wrapText="1" indent="1"/>
    </xf>
    <xf numFmtId="0" fontId="6" fillId="2" borderId="8" xfId="0" quotePrefix="1" applyFont="1" applyFill="1" applyBorder="1" applyAlignment="1">
      <alignment horizontal="left" vertical="center" wrapText="1" indent="1"/>
    </xf>
    <xf numFmtId="0" fontId="8" fillId="2" borderId="8" xfId="0" quotePrefix="1" applyFont="1" applyFill="1" applyBorder="1" applyAlignment="1">
      <alignment horizontal="left" vertical="center" wrapText="1" indent="1"/>
    </xf>
    <xf numFmtId="0" fontId="10" fillId="2" borderId="41" xfId="3" applyFont="1" applyFill="1" applyBorder="1" applyAlignment="1">
      <alignment horizontal="center" vertical="center"/>
    </xf>
    <xf numFmtId="0" fontId="8" fillId="2" borderId="8" xfId="4" applyNumberFormat="1" applyFont="1" applyFill="1" applyBorder="1" applyAlignment="1">
      <alignment horizontal="left" vertical="center" indent="1"/>
    </xf>
    <xf numFmtId="0" fontId="10" fillId="2" borderId="8" xfId="0" quotePrefix="1" applyFont="1" applyFill="1" applyBorder="1" applyAlignment="1">
      <alignment horizontal="left" vertical="center" wrapText="1"/>
    </xf>
    <xf numFmtId="0" fontId="11" fillId="2" borderId="8" xfId="2" applyFont="1" applyFill="1" applyBorder="1" applyAlignment="1">
      <alignment horizontal="center" vertical="center"/>
    </xf>
    <xf numFmtId="0" fontId="6" fillId="2" borderId="8" xfId="0" quotePrefix="1" applyFont="1" applyFill="1" applyBorder="1" applyAlignment="1">
      <alignment horizontal="left" vertical="center" wrapText="1" indent="2"/>
    </xf>
    <xf numFmtId="41" fontId="8" fillId="2" borderId="5" xfId="2" applyNumberFormat="1" applyFont="1" applyFill="1" applyBorder="1" applyAlignment="1">
      <alignment vertical="center"/>
    </xf>
    <xf numFmtId="0" fontId="6" fillId="8" borderId="3" xfId="0" applyFont="1" applyFill="1" applyBorder="1" applyAlignment="1">
      <alignment horizontal="left" indent="1"/>
    </xf>
    <xf numFmtId="0" fontId="5" fillId="8" borderId="3" xfId="0" applyFont="1" applyFill="1" applyBorder="1" applyAlignment="1">
      <alignment horizontal="left" indent="1"/>
    </xf>
    <xf numFmtId="0" fontId="6" fillId="2" borderId="51" xfId="2" quotePrefix="1" applyFont="1" applyFill="1" applyBorder="1" applyAlignment="1">
      <alignment horizontal="left" vertical="center" indent="2"/>
    </xf>
    <xf numFmtId="0" fontId="5" fillId="2" borderId="59" xfId="2" applyFont="1" applyFill="1" applyBorder="1" applyAlignment="1">
      <alignment vertical="center"/>
    </xf>
    <xf numFmtId="0" fontId="5" fillId="2" borderId="60" xfId="2" applyFont="1" applyFill="1" applyBorder="1" applyAlignment="1">
      <alignment vertical="center"/>
    </xf>
    <xf numFmtId="0" fontId="5" fillId="2" borderId="61" xfId="2" applyFont="1" applyFill="1" applyBorder="1" applyAlignment="1">
      <alignment vertical="center"/>
    </xf>
    <xf numFmtId="0" fontId="5" fillId="2" borderId="62" xfId="2" applyFont="1" applyFill="1" applyBorder="1" applyAlignment="1">
      <alignment horizontal="left" vertical="center"/>
    </xf>
    <xf numFmtId="0" fontId="5" fillId="2" borderId="30" xfId="2" applyFont="1" applyFill="1" applyBorder="1" applyAlignment="1">
      <alignment horizontal="left" vertical="center"/>
    </xf>
    <xf numFmtId="0" fontId="5" fillId="2" borderId="35" xfId="2" applyFont="1" applyFill="1" applyBorder="1" applyAlignment="1">
      <alignment horizontal="left" vertical="center"/>
    </xf>
    <xf numFmtId="167" fontId="7" fillId="2" borderId="4" xfId="5" applyNumberFormat="1" applyFont="1" applyFill="1" applyBorder="1" applyAlignment="1">
      <alignment horizontal="center" vertical="center"/>
    </xf>
    <xf numFmtId="164" fontId="10" fillId="2" borderId="4" xfId="6" applyFont="1" applyFill="1" applyBorder="1" applyAlignment="1">
      <alignment horizontal="center" vertical="center"/>
    </xf>
    <xf numFmtId="41" fontId="6" fillId="2" borderId="5" xfId="2" applyNumberFormat="1" applyFont="1" applyFill="1" applyBorder="1" applyAlignment="1">
      <alignment vertical="center"/>
    </xf>
    <xf numFmtId="168" fontId="6" fillId="2" borderId="24" xfId="5" applyNumberFormat="1" applyFont="1" applyFill="1" applyBorder="1" applyAlignment="1">
      <alignment horizontal="center"/>
    </xf>
    <xf numFmtId="0" fontId="7" fillId="2" borderId="4" xfId="3" applyFont="1" applyFill="1" applyBorder="1" applyAlignment="1">
      <alignment horizontal="center" vertical="center"/>
    </xf>
    <xf numFmtId="164" fontId="8" fillId="2" borderId="8" xfId="4" applyFont="1" applyFill="1" applyBorder="1" applyAlignment="1">
      <alignment horizontal="center" vertical="center"/>
    </xf>
    <xf numFmtId="164" fontId="6" fillId="2" borderId="25" xfId="4" applyFont="1" applyFill="1" applyBorder="1" applyAlignment="1">
      <alignment vertical="center"/>
    </xf>
    <xf numFmtId="164" fontId="6" fillId="2" borderId="4" xfId="4" applyFont="1" applyFill="1" applyBorder="1" applyAlignment="1">
      <alignment horizontal="center" vertical="center"/>
    </xf>
    <xf numFmtId="164" fontId="7" fillId="2" borderId="4" xfId="4" applyFont="1" applyFill="1" applyBorder="1" applyAlignment="1">
      <alignment horizontal="center" vertical="center"/>
    </xf>
    <xf numFmtId="168" fontId="8" fillId="2" borderId="4" xfId="5" applyNumberFormat="1" applyFont="1" applyFill="1" applyBorder="1" applyAlignment="1">
      <alignment vertical="center"/>
    </xf>
    <xf numFmtId="168" fontId="6" fillId="2" borderId="26" xfId="5" applyNumberFormat="1" applyFont="1" applyFill="1" applyBorder="1" applyAlignment="1">
      <alignment vertical="center"/>
    </xf>
    <xf numFmtId="41" fontId="7" fillId="2" borderId="4" xfId="5" applyNumberFormat="1" applyFont="1" applyFill="1" applyBorder="1" applyAlignment="1">
      <alignment vertical="center"/>
    </xf>
    <xf numFmtId="41" fontId="7" fillId="2" borderId="5" xfId="2" applyNumberFormat="1" applyFont="1" applyFill="1" applyBorder="1" applyAlignment="1">
      <alignment vertical="center"/>
    </xf>
    <xf numFmtId="164" fontId="8" fillId="2" borderId="8" xfId="6" applyFont="1" applyFill="1" applyBorder="1" applyAlignment="1">
      <alignment horizontal="center" vertical="center"/>
    </xf>
    <xf numFmtId="164" fontId="7" fillId="2" borderId="8" xfId="4" applyFont="1" applyFill="1" applyBorder="1" applyAlignment="1">
      <alignment horizontal="center" vertical="center"/>
    </xf>
    <xf numFmtId="164" fontId="6" fillId="2" borderId="25" xfId="4" applyFont="1" applyFill="1" applyBorder="1" applyAlignment="1">
      <alignment horizontal="center"/>
    </xf>
    <xf numFmtId="41" fontId="6" fillId="2" borderId="8" xfId="5" applyNumberFormat="1" applyFont="1" applyFill="1" applyBorder="1" applyAlignment="1">
      <alignment vertical="center"/>
    </xf>
    <xf numFmtId="41" fontId="7" fillId="2" borderId="5" xfId="0" applyNumberFormat="1" applyFont="1" applyFill="1" applyBorder="1" applyAlignment="1">
      <alignment horizontal="center" vertical="center"/>
    </xf>
    <xf numFmtId="164" fontId="6" fillId="2" borderId="4" xfId="4" applyFont="1" applyFill="1" applyBorder="1" applyAlignment="1">
      <alignment horizontal="center"/>
    </xf>
    <xf numFmtId="164" fontId="6" fillId="2" borderId="8" xfId="4" applyFont="1" applyFill="1" applyBorder="1" applyAlignment="1">
      <alignment vertical="center"/>
    </xf>
    <xf numFmtId="164" fontId="6" fillId="2" borderId="8" xfId="4" applyFont="1" applyFill="1" applyBorder="1" applyAlignment="1">
      <alignment horizontal="center" vertical="center"/>
    </xf>
    <xf numFmtId="164" fontId="8" fillId="2" borderId="4" xfId="4" applyFont="1" applyFill="1" applyBorder="1" applyAlignment="1">
      <alignment horizontal="center" vertical="center"/>
    </xf>
    <xf numFmtId="41" fontId="10" fillId="2" borderId="5" xfId="5" applyNumberFormat="1" applyFont="1" applyFill="1" applyBorder="1" applyAlignment="1">
      <alignment horizontal="center" vertical="center"/>
    </xf>
    <xf numFmtId="164" fontId="8" fillId="2" borderId="25" xfId="4" applyFont="1" applyFill="1" applyBorder="1" applyAlignment="1">
      <alignment horizontal="center" vertical="center"/>
    </xf>
    <xf numFmtId="164" fontId="6" fillId="2" borderId="24" xfId="4" applyFont="1" applyFill="1" applyBorder="1" applyAlignment="1">
      <alignment horizontal="center"/>
    </xf>
    <xf numFmtId="168" fontId="6" fillId="2" borderId="25" xfId="5" applyNumberFormat="1" applyFont="1" applyFill="1" applyBorder="1" applyAlignment="1">
      <alignment horizontal="center"/>
    </xf>
    <xf numFmtId="164" fontId="8" fillId="2" borderId="4" xfId="6" applyFont="1" applyFill="1" applyBorder="1" applyAlignment="1">
      <alignment horizontal="center" vertical="center"/>
    </xf>
    <xf numFmtId="41" fontId="6" fillId="2" borderId="25" xfId="5" applyNumberFormat="1" applyFont="1" applyFill="1" applyBorder="1" applyAlignment="1">
      <alignment horizontal="center" vertical="center"/>
    </xf>
    <xf numFmtId="168" fontId="6" fillId="2" borderId="5" xfId="5" applyNumberFormat="1" applyFont="1" applyFill="1" applyBorder="1" applyAlignment="1">
      <alignment horizontal="center"/>
    </xf>
    <xf numFmtId="164" fontId="6" fillId="2" borderId="26" xfId="4" applyFont="1" applyFill="1" applyBorder="1" applyAlignment="1">
      <alignment vertical="center"/>
    </xf>
    <xf numFmtId="41" fontId="5" fillId="2" borderId="5" xfId="5" applyNumberFormat="1" applyFont="1" applyFill="1" applyBorder="1" applyAlignment="1">
      <alignment horizontal="center" vertical="center"/>
    </xf>
    <xf numFmtId="41" fontId="7" fillId="2" borderId="5" xfId="5" applyNumberFormat="1" applyFont="1" applyFill="1" applyBorder="1" applyAlignment="1">
      <alignment horizontal="center" vertical="center"/>
    </xf>
    <xf numFmtId="164" fontId="13" fillId="2" borderId="4" xfId="4" applyFont="1" applyFill="1" applyBorder="1" applyAlignment="1">
      <alignment horizontal="center" vertical="center"/>
    </xf>
    <xf numFmtId="41" fontId="6" fillId="2" borderId="5" xfId="5" applyNumberFormat="1" applyFont="1" applyFill="1" applyBorder="1" applyAlignment="1">
      <alignment horizontal="center" vertical="center"/>
    </xf>
    <xf numFmtId="41" fontId="0" fillId="2" borderId="0" xfId="0" applyNumberFormat="1" applyFill="1"/>
    <xf numFmtId="41" fontId="10" fillId="0" borderId="0" xfId="0" applyNumberFormat="1" applyFont="1" applyAlignment="1">
      <alignment horizontal="left" indent="1"/>
    </xf>
    <xf numFmtId="41" fontId="0" fillId="0" borderId="0" xfId="0" applyNumberFormat="1" applyAlignment="1">
      <alignment horizontal="left" indent="2"/>
    </xf>
    <xf numFmtId="0" fontId="5" fillId="0" borderId="47" xfId="3" applyFont="1" applyBorder="1" applyAlignment="1">
      <alignment horizontal="center" vertical="center"/>
    </xf>
    <xf numFmtId="0" fontId="6" fillId="0" borderId="3" xfId="6" applyNumberFormat="1" applyFont="1" applyFill="1" applyBorder="1" applyAlignment="1">
      <alignment horizontal="center" vertical="center"/>
    </xf>
    <xf numFmtId="41" fontId="6" fillId="2" borderId="0" xfId="5" applyNumberFormat="1" applyFont="1" applyFill="1" applyBorder="1" applyAlignment="1">
      <alignment horizontal="center" vertical="center"/>
    </xf>
    <xf numFmtId="41" fontId="6" fillId="2" borderId="0" xfId="5" applyNumberFormat="1" applyFont="1" applyFill="1" applyBorder="1" applyAlignment="1">
      <alignment vertical="center"/>
    </xf>
    <xf numFmtId="41" fontId="6" fillId="2" borderId="0" xfId="2" applyNumberFormat="1" applyFont="1" applyFill="1" applyBorder="1" applyAlignment="1">
      <alignment vertical="center"/>
    </xf>
    <xf numFmtId="0" fontId="0" fillId="0" borderId="66" xfId="0" applyBorder="1"/>
    <xf numFmtId="172" fontId="0" fillId="0" borderId="66" xfId="0" applyNumberFormat="1" applyBorder="1"/>
    <xf numFmtId="172" fontId="0" fillId="4" borderId="66" xfId="0" applyNumberFormat="1" applyFill="1" applyBorder="1" applyAlignment="1">
      <alignment vertical="center"/>
    </xf>
    <xf numFmtId="0" fontId="0" fillId="2" borderId="0" xfId="0" applyFill="1" applyAlignment="1">
      <alignment vertical="center"/>
    </xf>
    <xf numFmtId="172" fontId="0" fillId="2" borderId="0" xfId="0" applyNumberFormat="1" applyFill="1" applyAlignment="1">
      <alignment vertical="center"/>
    </xf>
    <xf numFmtId="0" fontId="0" fillId="0" borderId="0" xfId="0" applyAlignment="1">
      <alignment horizontal="center"/>
    </xf>
    <xf numFmtId="0" fontId="22" fillId="9" borderId="66" xfId="0" applyFont="1" applyFill="1" applyBorder="1" applyAlignment="1">
      <alignment horizontal="center"/>
    </xf>
    <xf numFmtId="0" fontId="22" fillId="4" borderId="66" xfId="0" applyFont="1" applyFill="1" applyBorder="1" applyAlignment="1">
      <alignment horizontal="center"/>
    </xf>
    <xf numFmtId="0" fontId="8" fillId="8" borderId="25" xfId="0" applyFont="1" applyFill="1" applyBorder="1" applyAlignment="1">
      <alignment horizontal="left" vertical="center" indent="1"/>
    </xf>
    <xf numFmtId="0" fontId="6" fillId="2" borderId="25" xfId="6" applyNumberFormat="1" applyFont="1" applyFill="1" applyBorder="1" applyAlignment="1">
      <alignment horizontal="left" vertical="center" wrapText="1" indent="1"/>
    </xf>
    <xf numFmtId="41" fontId="14" fillId="2" borderId="0" xfId="4" applyNumberFormat="1" applyFont="1" applyFill="1" applyBorder="1" applyAlignment="1">
      <alignment horizontal="center" vertical="center"/>
    </xf>
    <xf numFmtId="41" fontId="0" fillId="2" borderId="0" xfId="1" applyFont="1" applyFill="1"/>
    <xf numFmtId="0" fontId="2" fillId="2" borderId="0" xfId="0" applyFont="1" applyFill="1" applyAlignment="1">
      <alignment horizontal="center"/>
    </xf>
    <xf numFmtId="0" fontId="4" fillId="2" borderId="69" xfId="2" applyFont="1" applyFill="1" applyBorder="1" applyAlignment="1">
      <alignment horizontal="center" vertical="center"/>
    </xf>
    <xf numFmtId="0" fontId="4" fillId="2" borderId="9" xfId="2" applyFont="1" applyFill="1" applyBorder="1" applyAlignment="1">
      <alignment horizontal="center" vertical="center"/>
    </xf>
    <xf numFmtId="0" fontId="4" fillId="2" borderId="70" xfId="2" applyFont="1" applyFill="1" applyBorder="1" applyAlignment="1">
      <alignment horizontal="center" vertical="center"/>
    </xf>
    <xf numFmtId="41" fontId="23" fillId="2" borderId="55" xfId="20" applyFont="1" applyFill="1" applyBorder="1" applyAlignment="1">
      <alignment vertical="center"/>
    </xf>
    <xf numFmtId="0" fontId="23" fillId="2" borderId="55" xfId="20" applyNumberFormat="1" applyFont="1" applyFill="1" applyBorder="1" applyAlignment="1">
      <alignment vertical="center"/>
    </xf>
    <xf numFmtId="0" fontId="22" fillId="10" borderId="71" xfId="63" applyFont="1" applyFill="1" applyBorder="1" applyAlignment="1">
      <alignment horizontal="left" vertical="center"/>
    </xf>
    <xf numFmtId="0" fontId="23" fillId="2" borderId="55" xfId="0" applyFont="1" applyFill="1" applyBorder="1" applyAlignment="1">
      <alignment vertical="center"/>
    </xf>
    <xf numFmtId="167" fontId="23" fillId="2" borderId="0" xfId="5" applyNumberFormat="1" applyFont="1" applyFill="1" applyAlignment="1">
      <alignment vertical="center"/>
    </xf>
    <xf numFmtId="41" fontId="23" fillId="2" borderId="0" xfId="20" applyFont="1" applyFill="1" applyBorder="1" applyAlignment="1">
      <alignment vertical="center"/>
    </xf>
    <xf numFmtId="0" fontId="22" fillId="10" borderId="0" xfId="63" applyFont="1" applyFill="1" applyAlignment="1">
      <alignment vertical="center"/>
    </xf>
    <xf numFmtId="0" fontId="23" fillId="2" borderId="0" xfId="0" applyFont="1" applyFill="1" applyAlignment="1">
      <alignment vertical="center"/>
    </xf>
    <xf numFmtId="41" fontId="23" fillId="2" borderId="0" xfId="20" applyFont="1" applyFill="1" applyBorder="1" applyAlignment="1">
      <alignment horizontal="left" vertical="center"/>
    </xf>
    <xf numFmtId="0" fontId="22" fillId="10" borderId="0" xfId="63" applyFont="1" applyFill="1" applyAlignment="1">
      <alignment horizontal="left" vertical="center"/>
    </xf>
    <xf numFmtId="0" fontId="24" fillId="2" borderId="0" xfId="2" applyFont="1" applyFill="1" applyBorder="1" applyAlignment="1">
      <alignment horizontal="center" vertical="center"/>
    </xf>
    <xf numFmtId="0" fontId="24" fillId="2" borderId="0" xfId="2" applyFont="1" applyFill="1" applyBorder="1" applyAlignment="1">
      <alignment horizontal="left" vertical="center"/>
    </xf>
    <xf numFmtId="0" fontId="24" fillId="2" borderId="0" xfId="0" applyFont="1" applyFill="1" applyAlignment="1">
      <alignment vertical="center"/>
    </xf>
    <xf numFmtId="0" fontId="25" fillId="10" borderId="0" xfId="63" applyFont="1" applyFill="1" applyAlignment="1">
      <alignment horizontal="left" vertical="center"/>
    </xf>
    <xf numFmtId="41" fontId="24" fillId="2" borderId="0" xfId="20" applyFont="1" applyFill="1" applyAlignment="1">
      <alignment vertical="center"/>
    </xf>
    <xf numFmtId="0" fontId="0" fillId="2" borderId="0" xfId="0" applyFill="1" applyAlignment="1">
      <alignment horizontal="center"/>
    </xf>
    <xf numFmtId="0" fontId="22" fillId="10" borderId="71" xfId="63" applyFont="1" applyFill="1" applyBorder="1" applyAlignment="1">
      <alignment horizontal="center" vertical="center"/>
    </xf>
    <xf numFmtId="0" fontId="22" fillId="10" borderId="0" xfId="63" applyFont="1" applyFill="1" applyAlignment="1">
      <alignment horizontal="center" vertical="center"/>
    </xf>
    <xf numFmtId="0" fontId="6" fillId="2" borderId="25" xfId="2" quotePrefix="1" applyFont="1" applyFill="1" applyBorder="1" applyAlignment="1">
      <alignment horizontal="center" vertical="center"/>
    </xf>
    <xf numFmtId="0" fontId="6" fillId="2" borderId="25" xfId="4" applyNumberFormat="1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wrapText="1"/>
    </xf>
    <xf numFmtId="0" fontId="8" fillId="2" borderId="25" xfId="0" quotePrefix="1" applyFont="1" applyFill="1" applyBorder="1" applyAlignment="1">
      <alignment horizontal="center" vertical="center" wrapText="1"/>
    </xf>
    <xf numFmtId="0" fontId="6" fillId="2" borderId="25" xfId="0" quotePrefix="1" applyFont="1" applyFill="1" applyBorder="1" applyAlignment="1">
      <alignment horizontal="center" vertical="center" wrapText="1"/>
    </xf>
    <xf numFmtId="0" fontId="6" fillId="2" borderId="25" xfId="4" quotePrefix="1" applyNumberFormat="1" applyFont="1" applyFill="1" applyBorder="1" applyAlignment="1">
      <alignment horizontal="center" vertical="center"/>
    </xf>
    <xf numFmtId="0" fontId="6" fillId="3" borderId="25" xfId="6" quotePrefix="1" applyNumberFormat="1" applyFont="1" applyFill="1" applyBorder="1" applyAlignment="1">
      <alignment horizontal="center" vertical="center" wrapText="1"/>
    </xf>
    <xf numFmtId="0" fontId="6" fillId="2" borderId="26" xfId="6" applyNumberFormat="1" applyFont="1" applyFill="1" applyBorder="1" applyAlignment="1">
      <alignment horizontal="center" vertical="center"/>
    </xf>
    <xf numFmtId="0" fontId="5" fillId="2" borderId="16" xfId="2" applyFont="1" applyFill="1" applyBorder="1" applyAlignment="1">
      <alignment horizontal="center" vertical="center"/>
    </xf>
    <xf numFmtId="0" fontId="25" fillId="10" borderId="0" xfId="63" applyFont="1" applyFill="1" applyAlignment="1">
      <alignment horizontal="center" vertical="center"/>
    </xf>
    <xf numFmtId="0" fontId="6" fillId="3" borderId="25" xfId="6" applyNumberFormat="1" applyFont="1" applyFill="1" applyBorder="1" applyAlignment="1">
      <alignment horizontal="center" vertical="center" wrapText="1"/>
    </xf>
    <xf numFmtId="0" fontId="6" fillId="2" borderId="0" xfId="2" applyFont="1" applyFill="1" applyBorder="1" applyAlignment="1">
      <alignment horizontal="center" vertical="center"/>
    </xf>
    <xf numFmtId="0" fontId="6" fillId="2" borderId="30" xfId="2" applyFont="1" applyFill="1" applyBorder="1" applyAlignment="1">
      <alignment horizontal="center" vertical="center"/>
    </xf>
    <xf numFmtId="0" fontId="6" fillId="2" borderId="16" xfId="2" applyFont="1" applyFill="1" applyBorder="1" applyAlignment="1">
      <alignment horizontal="center" vertical="center"/>
    </xf>
    <xf numFmtId="0" fontId="6" fillId="2" borderId="35" xfId="2" applyFont="1" applyFill="1" applyBorder="1" applyAlignment="1">
      <alignment horizontal="center" vertical="center"/>
    </xf>
    <xf numFmtId="167" fontId="7" fillId="2" borderId="0" xfId="5" applyNumberFormat="1" applyFont="1" applyFill="1" applyBorder="1" applyAlignment="1">
      <alignment horizontal="center" vertical="center"/>
    </xf>
    <xf numFmtId="164" fontId="6" fillId="2" borderId="0" xfId="4" applyFont="1" applyFill="1" applyBorder="1" applyAlignment="1">
      <alignment horizontal="center" vertical="center"/>
    </xf>
    <xf numFmtId="164" fontId="6" fillId="2" borderId="0" xfId="4" applyFont="1" applyFill="1" applyBorder="1" applyAlignment="1">
      <alignment vertical="center"/>
    </xf>
    <xf numFmtId="41" fontId="7" fillId="2" borderId="0" xfId="5" applyNumberFormat="1" applyFont="1" applyFill="1" applyBorder="1" applyAlignment="1">
      <alignment vertical="center"/>
    </xf>
    <xf numFmtId="164" fontId="7" fillId="2" borderId="0" xfId="4" applyFont="1" applyFill="1" applyBorder="1" applyAlignment="1">
      <alignment horizontal="center" vertical="center"/>
    </xf>
    <xf numFmtId="164" fontId="8" fillId="2" borderId="0" xfId="4" applyFont="1" applyFill="1" applyBorder="1" applyAlignment="1">
      <alignment horizontal="center" vertical="center"/>
    </xf>
    <xf numFmtId="164" fontId="8" fillId="2" borderId="0" xfId="6" applyFont="1" applyFill="1" applyBorder="1" applyAlignment="1">
      <alignment horizontal="center" vertical="center"/>
    </xf>
    <xf numFmtId="168" fontId="8" fillId="2" borderId="0" xfId="5" applyNumberFormat="1" applyFont="1" applyFill="1" applyBorder="1" applyAlignment="1">
      <alignment vertical="center"/>
    </xf>
    <xf numFmtId="41" fontId="6" fillId="2" borderId="0" xfId="0" applyNumberFormat="1" applyFont="1" applyFill="1" applyAlignment="1">
      <alignment horizontal="center" vertical="center"/>
    </xf>
    <xf numFmtId="41" fontId="11" fillId="2" borderId="0" xfId="5" applyNumberFormat="1" applyFont="1" applyFill="1" applyBorder="1" applyAlignment="1">
      <alignment vertical="center"/>
    </xf>
    <xf numFmtId="167" fontId="6" fillId="2" borderId="0" xfId="5" applyNumberFormat="1" applyFont="1" applyFill="1" applyBorder="1" applyAlignment="1">
      <alignment vertical="center"/>
    </xf>
    <xf numFmtId="0" fontId="5" fillId="2" borderId="73" xfId="2" applyFont="1" applyFill="1" applyBorder="1" applyAlignment="1">
      <alignment vertical="center"/>
    </xf>
    <xf numFmtId="0" fontId="6" fillId="2" borderId="29" xfId="2" applyFont="1" applyFill="1" applyBorder="1" applyAlignment="1">
      <alignment vertical="center"/>
    </xf>
    <xf numFmtId="0" fontId="6" fillId="2" borderId="32" xfId="2" applyFont="1" applyFill="1" applyBorder="1" applyAlignment="1">
      <alignment vertical="center"/>
    </xf>
    <xf numFmtId="0" fontId="6" fillId="2" borderId="34" xfId="2" applyFont="1" applyFill="1" applyBorder="1" applyAlignment="1">
      <alignment vertical="center"/>
    </xf>
    <xf numFmtId="41" fontId="7" fillId="2" borderId="64" xfId="0" applyNumberFormat="1" applyFont="1" applyFill="1" applyBorder="1" applyAlignment="1">
      <alignment horizontal="center" vertical="center"/>
    </xf>
    <xf numFmtId="41" fontId="6" fillId="2" borderId="64" xfId="5" applyNumberFormat="1" applyFont="1" applyFill="1" applyBorder="1" applyAlignment="1">
      <alignment horizontal="center" vertical="center"/>
    </xf>
    <xf numFmtId="41" fontId="6" fillId="2" borderId="64" xfId="5" applyNumberFormat="1" applyFont="1" applyFill="1" applyBorder="1" applyAlignment="1">
      <alignment vertical="center"/>
    </xf>
    <xf numFmtId="41" fontId="7" fillId="2" borderId="64" xfId="2" applyNumberFormat="1" applyFont="1" applyFill="1" applyBorder="1" applyAlignment="1">
      <alignment vertical="center"/>
    </xf>
    <xf numFmtId="41" fontId="7" fillId="2" borderId="64" xfId="5" applyNumberFormat="1" applyFont="1" applyFill="1" applyBorder="1" applyAlignment="1">
      <alignment horizontal="center" vertical="center"/>
    </xf>
    <xf numFmtId="41" fontId="8" fillId="2" borderId="64" xfId="5" applyNumberFormat="1" applyFont="1" applyFill="1" applyBorder="1" applyAlignment="1">
      <alignment horizontal="center" vertical="center"/>
    </xf>
    <xf numFmtId="41" fontId="6" fillId="2" borderId="64" xfId="2" applyNumberFormat="1" applyFont="1" applyFill="1" applyBorder="1" applyAlignment="1">
      <alignment vertical="center"/>
    </xf>
    <xf numFmtId="41" fontId="8" fillId="2" borderId="64" xfId="2" applyNumberFormat="1" applyFont="1" applyFill="1" applyBorder="1" applyAlignment="1">
      <alignment vertical="center"/>
    </xf>
    <xf numFmtId="41" fontId="5" fillId="2" borderId="63" xfId="2" applyNumberFormat="1" applyFont="1" applyFill="1" applyBorder="1" applyAlignment="1">
      <alignment vertical="center"/>
    </xf>
    <xf numFmtId="41" fontId="6" fillId="2" borderId="74" xfId="2" applyNumberFormat="1" applyFont="1" applyFill="1" applyBorder="1" applyAlignment="1">
      <alignment vertical="center"/>
    </xf>
    <xf numFmtId="41" fontId="6" fillId="2" borderId="75" xfId="2" applyNumberFormat="1" applyFont="1" applyFill="1" applyBorder="1" applyAlignment="1">
      <alignment vertical="center"/>
    </xf>
    <xf numFmtId="41" fontId="6" fillId="2" borderId="76" xfId="2" applyNumberFormat="1" applyFont="1" applyFill="1" applyBorder="1" applyAlignment="1">
      <alignment vertical="center"/>
    </xf>
    <xf numFmtId="0" fontId="23" fillId="2" borderId="0" xfId="2" applyFont="1" applyFill="1" applyBorder="1" applyAlignment="1">
      <alignment horizontal="left" vertical="center"/>
    </xf>
    <xf numFmtId="0" fontId="23" fillId="2" borderId="0" xfId="6" applyNumberFormat="1" applyFont="1" applyFill="1" applyBorder="1" applyAlignment="1">
      <alignment horizontal="left" vertical="center"/>
    </xf>
    <xf numFmtId="0" fontId="23" fillId="2" borderId="0" xfId="6" applyNumberFormat="1" applyFont="1" applyFill="1" applyBorder="1" applyAlignment="1">
      <alignment vertical="center"/>
    </xf>
    <xf numFmtId="0" fontId="24" fillId="2" borderId="0" xfId="6" applyNumberFormat="1" applyFont="1" applyFill="1" applyBorder="1" applyAlignment="1">
      <alignment vertical="center"/>
    </xf>
    <xf numFmtId="0" fontId="6" fillId="2" borderId="0" xfId="2" applyFont="1" applyFill="1" applyBorder="1" applyAlignment="1">
      <alignment vertical="center"/>
    </xf>
    <xf numFmtId="0" fontId="5" fillId="2" borderId="77" xfId="2" applyFont="1" applyFill="1" applyBorder="1" applyAlignment="1">
      <alignment horizontal="left" vertical="center"/>
    </xf>
    <xf numFmtId="0" fontId="6" fillId="2" borderId="55" xfId="2" applyFont="1" applyFill="1" applyBorder="1" applyAlignment="1">
      <alignment horizontal="center" vertical="center"/>
    </xf>
    <xf numFmtId="0" fontId="6" fillId="2" borderId="78" xfId="2" applyFont="1" applyFill="1" applyBorder="1" applyAlignment="1">
      <alignment vertical="center"/>
    </xf>
    <xf numFmtId="0" fontId="6" fillId="2" borderId="77" xfId="2" applyFont="1" applyFill="1" applyBorder="1" applyAlignment="1">
      <alignment vertical="center"/>
    </xf>
    <xf numFmtId="41" fontId="6" fillId="2" borderId="79" xfId="2" applyNumberFormat="1" applyFont="1" applyFill="1" applyBorder="1" applyAlignment="1">
      <alignment vertical="center"/>
    </xf>
    <xf numFmtId="164" fontId="24" fillId="2" borderId="0" xfId="6" applyFont="1" applyFill="1" applyBorder="1" applyAlignment="1">
      <alignment horizontal="center" vertical="center"/>
    </xf>
    <xf numFmtId="41" fontId="23" fillId="2" borderId="0" xfId="5" applyNumberFormat="1" applyFont="1" applyFill="1" applyBorder="1" applyAlignment="1">
      <alignment horizontal="left" vertical="center"/>
    </xf>
    <xf numFmtId="164" fontId="24" fillId="2" borderId="0" xfId="0" applyNumberFormat="1" applyFont="1" applyFill="1" applyAlignment="1">
      <alignment vertical="center"/>
    </xf>
    <xf numFmtId="41" fontId="24" fillId="2" borderId="0" xfId="5" applyNumberFormat="1" applyFont="1" applyFill="1" applyAlignment="1">
      <alignment horizontal="left" vertical="center"/>
    </xf>
    <xf numFmtId="0" fontId="24" fillId="2" borderId="0" xfId="6" applyNumberFormat="1" applyFont="1" applyFill="1" applyAlignment="1">
      <alignment vertical="center"/>
    </xf>
    <xf numFmtId="164" fontId="24" fillId="2" borderId="0" xfId="6" applyFont="1" applyFill="1" applyAlignment="1">
      <alignment horizontal="center" vertical="center"/>
    </xf>
    <xf numFmtId="164" fontId="5" fillId="2" borderId="0" xfId="6" applyFont="1" applyFill="1" applyAlignment="1">
      <alignment horizontal="left"/>
    </xf>
    <xf numFmtId="0" fontId="23" fillId="2" borderId="0" xfId="6" applyNumberFormat="1" applyFont="1" applyFill="1" applyAlignment="1">
      <alignment horizontal="left" vertical="center"/>
    </xf>
    <xf numFmtId="164" fontId="23" fillId="2" borderId="0" xfId="0" applyNumberFormat="1" applyFont="1" applyFill="1" applyAlignment="1">
      <alignment vertical="center"/>
    </xf>
    <xf numFmtId="164" fontId="5" fillId="2" borderId="0" xfId="6" applyFont="1" applyFill="1"/>
    <xf numFmtId="0" fontId="2" fillId="2" borderId="12" xfId="0" applyFont="1" applyFill="1" applyBorder="1" applyAlignment="1">
      <alignment horizontal="center"/>
    </xf>
    <xf numFmtId="167" fontId="4" fillId="0" borderId="72" xfId="5" applyNumberFormat="1" applyFont="1" applyFill="1" applyBorder="1" applyAlignment="1">
      <alignment horizontal="center" vertical="center"/>
    </xf>
    <xf numFmtId="41" fontId="4" fillId="0" borderId="68" xfId="0" applyNumberFormat="1" applyFont="1" applyBorder="1" applyAlignment="1">
      <alignment horizontal="center" vertical="center"/>
    </xf>
    <xf numFmtId="0" fontId="0" fillId="2" borderId="55" xfId="0" applyFill="1" applyBorder="1"/>
    <xf numFmtId="167" fontId="4" fillId="0" borderId="37" xfId="5" applyNumberFormat="1" applyFont="1" applyFill="1" applyBorder="1" applyAlignment="1">
      <alignment horizontal="center" vertical="center"/>
    </xf>
    <xf numFmtId="41" fontId="4" fillId="0" borderId="37" xfId="0" applyNumberFormat="1" applyFont="1" applyBorder="1" applyAlignment="1">
      <alignment horizontal="center" vertical="center"/>
    </xf>
    <xf numFmtId="41" fontId="6" fillId="2" borderId="80" xfId="2" applyNumberFormat="1" applyFont="1" applyFill="1" applyBorder="1" applyAlignment="1">
      <alignment vertical="center"/>
    </xf>
    <xf numFmtId="0" fontId="5" fillId="6" borderId="0" xfId="6" applyNumberFormat="1" applyFont="1" applyFill="1" applyBorder="1" applyAlignment="1">
      <alignment horizontal="left" vertical="center" wrapText="1"/>
    </xf>
    <xf numFmtId="0" fontId="5" fillId="2" borderId="55" xfId="2" applyFont="1" applyFill="1" applyBorder="1" applyAlignment="1">
      <alignment horizontal="left" vertical="center"/>
    </xf>
    <xf numFmtId="0" fontId="6" fillId="2" borderId="56" xfId="2" applyFont="1" applyFill="1" applyBorder="1" applyAlignment="1">
      <alignment vertical="center"/>
    </xf>
    <xf numFmtId="0" fontId="6" fillId="2" borderId="0" xfId="6" applyNumberFormat="1" applyFont="1" applyFill="1" applyBorder="1" applyAlignment="1">
      <alignment horizontal="left" vertical="center" indent="1"/>
    </xf>
    <xf numFmtId="0" fontId="6" fillId="2" borderId="0" xfId="4" applyNumberFormat="1" applyFont="1" applyFill="1" applyBorder="1" applyAlignment="1">
      <alignment horizontal="left" vertical="center" indent="1"/>
    </xf>
    <xf numFmtId="0" fontId="5" fillId="3" borderId="0" xfId="6" quotePrefix="1" applyNumberFormat="1" applyFont="1" applyFill="1" applyBorder="1" applyAlignment="1">
      <alignment vertical="center" wrapText="1"/>
    </xf>
    <xf numFmtId="0" fontId="6" fillId="3" borderId="0" xfId="6" quotePrefix="1" applyNumberFormat="1" applyFont="1" applyFill="1" applyBorder="1" applyAlignment="1">
      <alignment horizontal="left" vertical="center" wrapText="1" indent="1"/>
    </xf>
    <xf numFmtId="0" fontId="10" fillId="2" borderId="0" xfId="4" applyNumberFormat="1" applyFont="1" applyFill="1" applyBorder="1" applyAlignment="1">
      <alignment horizontal="left" vertical="center" indent="1"/>
    </xf>
    <xf numFmtId="0" fontId="6" fillId="2" borderId="0" xfId="6" applyNumberFormat="1" applyFont="1" applyFill="1" applyBorder="1" applyAlignment="1">
      <alignment horizontal="left" vertical="center" wrapText="1" indent="2"/>
    </xf>
    <xf numFmtId="0" fontId="6" fillId="2" borderId="0" xfId="6" applyNumberFormat="1" applyFont="1" applyFill="1" applyBorder="1" applyAlignment="1">
      <alignment horizontal="left" vertical="center" indent="2"/>
    </xf>
    <xf numFmtId="0" fontId="8" fillId="2" borderId="0" xfId="6" applyNumberFormat="1" applyFont="1" applyFill="1" applyBorder="1" applyAlignment="1">
      <alignment horizontal="left" vertical="center" indent="2"/>
    </xf>
    <xf numFmtId="0" fontId="10" fillId="2" borderId="0" xfId="6" applyNumberFormat="1" applyFont="1" applyFill="1" applyBorder="1" applyAlignment="1">
      <alignment horizontal="left" vertical="center" indent="2"/>
    </xf>
    <xf numFmtId="0" fontId="6" fillId="2" borderId="0" xfId="4" applyNumberFormat="1" applyFont="1" applyFill="1" applyBorder="1" applyAlignment="1">
      <alignment horizontal="left" vertical="center" indent="2"/>
    </xf>
    <xf numFmtId="0" fontId="5" fillId="2" borderId="0" xfId="6" applyNumberFormat="1" applyFont="1" applyFill="1" applyBorder="1" applyAlignment="1">
      <alignment vertical="center"/>
    </xf>
    <xf numFmtId="0" fontId="6" fillId="2" borderId="82" xfId="6" applyNumberFormat="1" applyFont="1" applyFill="1" applyBorder="1" applyAlignment="1">
      <alignment horizontal="left" vertical="center" indent="1"/>
    </xf>
    <xf numFmtId="0" fontId="6" fillId="2" borderId="82" xfId="4" applyNumberFormat="1" applyFont="1" applyFill="1" applyBorder="1" applyAlignment="1">
      <alignment horizontal="left" vertical="center" indent="1"/>
    </xf>
    <xf numFmtId="0" fontId="5" fillId="2" borderId="82" xfId="4" applyNumberFormat="1" applyFont="1" applyFill="1" applyBorder="1" applyAlignment="1">
      <alignment horizontal="left" vertical="center"/>
    </xf>
    <xf numFmtId="0" fontId="8" fillId="2" borderId="82" xfId="0" quotePrefix="1" applyFont="1" applyFill="1" applyBorder="1" applyAlignment="1">
      <alignment horizontal="left" vertical="center" wrapText="1" indent="1"/>
    </xf>
    <xf numFmtId="0" fontId="8" fillId="0" borderId="82" xfId="0" quotePrefix="1" applyFont="1" applyBorder="1" applyAlignment="1">
      <alignment horizontal="left" vertical="center" wrapText="1" indent="1"/>
    </xf>
    <xf numFmtId="0" fontId="8" fillId="2" borderId="82" xfId="0" quotePrefix="1" applyFont="1" applyFill="1" applyBorder="1" applyAlignment="1">
      <alignment horizontal="left" vertical="center" wrapText="1" indent="2"/>
    </xf>
    <xf numFmtId="0" fontId="5" fillId="3" borderId="82" xfId="6" quotePrefix="1" applyNumberFormat="1" applyFont="1" applyFill="1" applyBorder="1" applyAlignment="1">
      <alignment horizontal="left" vertical="center" wrapText="1" indent="1"/>
    </xf>
    <xf numFmtId="0" fontId="6" fillId="2" borderId="82" xfId="2" quotePrefix="1" applyFont="1" applyFill="1" applyBorder="1" applyAlignment="1">
      <alignment vertical="center"/>
    </xf>
    <xf numFmtId="0" fontId="6" fillId="2" borderId="82" xfId="2" quotePrefix="1" applyFont="1" applyFill="1" applyBorder="1" applyAlignment="1">
      <alignment horizontal="left" vertical="center" indent="1"/>
    </xf>
    <xf numFmtId="0" fontId="5" fillId="3" borderId="82" xfId="6" quotePrefix="1" applyNumberFormat="1" applyFont="1" applyFill="1" applyBorder="1" applyAlignment="1">
      <alignment vertical="center" wrapText="1"/>
    </xf>
    <xf numFmtId="0" fontId="6" fillId="3" borderId="82" xfId="6" quotePrefix="1" applyNumberFormat="1" applyFont="1" applyFill="1" applyBorder="1" applyAlignment="1">
      <alignment horizontal="left" vertical="center" wrapText="1" indent="1"/>
    </xf>
    <xf numFmtId="0" fontId="6" fillId="3" borderId="0" xfId="6" quotePrefix="1" applyNumberFormat="1" applyFont="1" applyFill="1" applyBorder="1" applyAlignment="1">
      <alignment vertical="center" wrapText="1"/>
    </xf>
    <xf numFmtId="0" fontId="6" fillId="3" borderId="0" xfId="6" applyNumberFormat="1" applyFont="1" applyFill="1" applyBorder="1" applyAlignment="1">
      <alignment vertical="center" wrapText="1"/>
    </xf>
    <xf numFmtId="0" fontId="10" fillId="2" borderId="0" xfId="4" applyNumberFormat="1" applyFont="1" applyFill="1" applyBorder="1" applyAlignment="1">
      <alignment horizontal="left" vertical="center"/>
    </xf>
    <xf numFmtId="0" fontId="8" fillId="2" borderId="0" xfId="4" applyNumberFormat="1" applyFont="1" applyFill="1" applyBorder="1" applyAlignment="1">
      <alignment horizontal="left" vertical="center" indent="2"/>
    </xf>
    <xf numFmtId="0" fontId="5" fillId="2" borderId="8" xfId="2" applyFont="1" applyFill="1" applyBorder="1" applyAlignment="1">
      <alignment horizontal="center" vertical="center"/>
    </xf>
    <xf numFmtId="0" fontId="6" fillId="2" borderId="8" xfId="6" applyNumberFormat="1" applyFont="1" applyFill="1" applyBorder="1" applyAlignment="1">
      <alignment horizontal="left" vertical="center" indent="1"/>
    </xf>
    <xf numFmtId="0" fontId="4" fillId="2" borderId="81" xfId="2" applyFont="1" applyFill="1" applyBorder="1" applyAlignment="1">
      <alignment horizontal="center" vertical="center"/>
    </xf>
    <xf numFmtId="167" fontId="4" fillId="0" borderId="68" xfId="5" applyNumberFormat="1" applyFont="1" applyFill="1" applyBorder="1" applyAlignment="1">
      <alignment horizontal="center" vertical="center"/>
    </xf>
    <xf numFmtId="41" fontId="4" fillId="0" borderId="2" xfId="0" applyNumberFormat="1" applyFont="1" applyBorder="1" applyAlignment="1">
      <alignment horizontal="center" vertical="center"/>
    </xf>
    <xf numFmtId="0" fontId="5" fillId="2" borderId="84" xfId="2" applyFont="1" applyFill="1" applyBorder="1" applyAlignment="1">
      <alignment vertical="center"/>
    </xf>
    <xf numFmtId="0" fontId="5" fillId="2" borderId="85" xfId="2" applyFont="1" applyFill="1" applyBorder="1" applyAlignment="1">
      <alignment horizontal="center" vertical="center"/>
    </xf>
    <xf numFmtId="0" fontId="5" fillId="2" borderId="86" xfId="2" applyFont="1" applyFill="1" applyBorder="1" applyAlignment="1">
      <alignment horizontal="center" vertical="center"/>
    </xf>
    <xf numFmtId="0" fontId="5" fillId="2" borderId="87" xfId="2" applyFont="1" applyFill="1" applyBorder="1" applyAlignment="1">
      <alignment horizontal="left" vertical="center"/>
    </xf>
    <xf numFmtId="0" fontId="6" fillId="2" borderId="88" xfId="2" applyFont="1" applyFill="1" applyBorder="1" applyAlignment="1">
      <alignment vertical="center"/>
    </xf>
    <xf numFmtId="0" fontId="6" fillId="2" borderId="89" xfId="2" applyFont="1" applyFill="1" applyBorder="1" applyAlignment="1">
      <alignment vertical="center"/>
    </xf>
    <xf numFmtId="41" fontId="6" fillId="2" borderId="89" xfId="2" applyNumberFormat="1" applyFont="1" applyFill="1" applyBorder="1" applyAlignment="1">
      <alignment vertical="center"/>
    </xf>
    <xf numFmtId="0" fontId="23" fillId="2" borderId="55" xfId="20" applyNumberFormat="1" applyFont="1" applyFill="1" applyBorder="1" applyAlignment="1">
      <alignment horizontal="center" vertical="center"/>
    </xf>
    <xf numFmtId="0" fontId="5" fillId="3" borderId="8" xfId="6" applyNumberFormat="1" applyFont="1" applyFill="1" applyBorder="1" applyAlignment="1">
      <alignment horizontal="center" vertical="center" wrapText="1"/>
    </xf>
    <xf numFmtId="0" fontId="5" fillId="3" borderId="8" xfId="6" quotePrefix="1" applyNumberFormat="1" applyFont="1" applyFill="1" applyBorder="1" applyAlignment="1">
      <alignment horizontal="center" vertical="center" wrapText="1"/>
    </xf>
    <xf numFmtId="0" fontId="5" fillId="2" borderId="3" xfId="4" applyNumberFormat="1" applyFont="1" applyFill="1" applyBorder="1" applyAlignment="1">
      <alignment horizontal="center" vertical="center"/>
    </xf>
    <xf numFmtId="0" fontId="6" fillId="2" borderId="3" xfId="4" applyNumberFormat="1" applyFont="1" applyFill="1" applyBorder="1" applyAlignment="1">
      <alignment horizontal="center" vertical="center"/>
    </xf>
    <xf numFmtId="0" fontId="6" fillId="2" borderId="3" xfId="6" applyNumberFormat="1" applyFont="1" applyFill="1" applyBorder="1" applyAlignment="1">
      <alignment horizontal="center" vertical="center" wrapText="1"/>
    </xf>
    <xf numFmtId="0" fontId="6" fillId="2" borderId="8" xfId="4" applyNumberFormat="1" applyFont="1" applyFill="1" applyBorder="1" applyAlignment="1">
      <alignment horizontal="center" vertical="center"/>
    </xf>
    <xf numFmtId="0" fontId="5" fillId="2" borderId="8" xfId="4" applyNumberFormat="1" applyFont="1" applyFill="1" applyBorder="1" applyAlignment="1">
      <alignment horizontal="center" vertical="center"/>
    </xf>
    <xf numFmtId="0" fontId="8" fillId="2" borderId="8" xfId="0" quotePrefix="1" applyFont="1" applyFill="1" applyBorder="1" applyAlignment="1">
      <alignment horizontal="center" vertical="center" wrapText="1"/>
    </xf>
    <xf numFmtId="0" fontId="6" fillId="2" borderId="8" xfId="2" quotePrefix="1" applyFont="1" applyFill="1" applyBorder="1" applyAlignment="1">
      <alignment horizontal="center" vertical="center"/>
    </xf>
    <xf numFmtId="0" fontId="5" fillId="6" borderId="8" xfId="6" applyNumberFormat="1" applyFont="1" applyFill="1" applyBorder="1" applyAlignment="1">
      <alignment horizontal="center" vertical="center" wrapText="1"/>
    </xf>
    <xf numFmtId="0" fontId="6" fillId="2" borderId="83" xfId="2" quotePrefix="1" applyFont="1" applyFill="1" applyBorder="1" applyAlignment="1">
      <alignment horizontal="center" vertical="center"/>
    </xf>
    <xf numFmtId="0" fontId="5" fillId="2" borderId="12" xfId="2" applyFont="1" applyFill="1" applyBorder="1" applyAlignment="1">
      <alignment horizontal="center" vertical="center"/>
    </xf>
    <xf numFmtId="0" fontId="23" fillId="2" borderId="0" xfId="6" applyNumberFormat="1" applyFont="1" applyFill="1" applyBorder="1" applyAlignment="1">
      <alignment horizontal="center" vertical="center"/>
    </xf>
    <xf numFmtId="0" fontId="24" fillId="2" borderId="0" xfId="6" applyNumberFormat="1" applyFont="1" applyFill="1" applyBorder="1" applyAlignment="1">
      <alignment horizontal="center" vertical="center"/>
    </xf>
    <xf numFmtId="0" fontId="24" fillId="2" borderId="0" xfId="6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64" fontId="5" fillId="2" borderId="0" xfId="6" applyFont="1" applyFill="1" applyAlignment="1">
      <alignment horizontal="center"/>
    </xf>
    <xf numFmtId="0" fontId="24" fillId="2" borderId="55" xfId="20" applyNumberFormat="1" applyFont="1" applyFill="1" applyBorder="1" applyAlignment="1">
      <alignment horizontal="center" vertical="center"/>
    </xf>
    <xf numFmtId="0" fontId="6" fillId="3" borderId="8" xfId="6" applyNumberFormat="1" applyFont="1" applyFill="1" applyBorder="1" applyAlignment="1">
      <alignment horizontal="center" vertical="center" wrapText="1"/>
    </xf>
    <xf numFmtId="0" fontId="6" fillId="3" borderId="8" xfId="6" quotePrefix="1" applyNumberFormat="1" applyFont="1" applyFill="1" applyBorder="1" applyAlignment="1">
      <alignment horizontal="center" vertical="center" wrapText="1"/>
    </xf>
    <xf numFmtId="0" fontId="8" fillId="2" borderId="3" xfId="4" applyNumberFormat="1" applyFont="1" applyFill="1" applyBorder="1" applyAlignment="1">
      <alignment horizontal="center" vertical="center"/>
    </xf>
    <xf numFmtId="0" fontId="6" fillId="6" borderId="8" xfId="6" applyNumberFormat="1" applyFont="1" applyFill="1" applyBorder="1" applyAlignment="1">
      <alignment horizontal="center" vertical="center" wrapText="1"/>
    </xf>
    <xf numFmtId="0" fontId="6" fillId="2" borderId="9" xfId="2" applyFont="1" applyFill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6" fillId="2" borderId="88" xfId="2" applyFont="1" applyFill="1" applyBorder="1" applyAlignment="1">
      <alignment horizontal="center" vertical="center"/>
    </xf>
    <xf numFmtId="164" fontId="6" fillId="2" borderId="0" xfId="6" applyFont="1" applyFill="1" applyAlignment="1">
      <alignment horizontal="center"/>
    </xf>
    <xf numFmtId="0" fontId="5" fillId="2" borderId="90" xfId="2" applyFont="1" applyFill="1" applyBorder="1" applyAlignment="1">
      <alignment horizontal="center" vertical="center"/>
    </xf>
    <xf numFmtId="0" fontId="5" fillId="2" borderId="68" xfId="2" applyFont="1" applyFill="1" applyBorder="1" applyAlignment="1">
      <alignment horizontal="center" vertical="center"/>
    </xf>
    <xf numFmtId="164" fontId="6" fillId="3" borderId="25" xfId="6" quotePrefix="1" applyFont="1" applyFill="1" applyBorder="1" applyAlignment="1">
      <alignment horizontal="center"/>
    </xf>
    <xf numFmtId="164" fontId="6" fillId="2" borderId="25" xfId="4" quotePrefix="1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 vertical="center"/>
    </xf>
    <xf numFmtId="0" fontId="5" fillId="2" borderId="18" xfId="2" applyFont="1" applyFill="1" applyBorder="1" applyAlignment="1">
      <alignment horizontal="center" vertical="center"/>
    </xf>
    <xf numFmtId="0" fontId="5" fillId="2" borderId="91" xfId="2" applyFont="1" applyFill="1" applyBorder="1" applyAlignment="1">
      <alignment horizontal="center" vertical="center"/>
    </xf>
    <xf numFmtId="0" fontId="5" fillId="6" borderId="58" xfId="6" applyNumberFormat="1" applyFont="1" applyFill="1" applyBorder="1" applyAlignment="1">
      <alignment horizontal="left" vertical="center" wrapText="1"/>
    </xf>
    <xf numFmtId="0" fontId="6" fillId="2" borderId="8" xfId="4" applyNumberFormat="1" applyFont="1" applyFill="1" applyBorder="1" applyAlignment="1">
      <alignment horizontal="left" vertical="center"/>
    </xf>
    <xf numFmtId="0" fontId="8" fillId="2" borderId="8" xfId="6" applyNumberFormat="1" applyFont="1" applyFill="1" applyBorder="1" applyAlignment="1">
      <alignment horizontal="left" vertical="center" indent="1"/>
    </xf>
    <xf numFmtId="0" fontId="6" fillId="0" borderId="8" xfId="6" applyNumberFormat="1" applyFont="1" applyFill="1" applyBorder="1" applyAlignment="1">
      <alignment horizontal="left" vertical="center" indent="1"/>
    </xf>
    <xf numFmtId="0" fontId="6" fillId="2" borderId="8" xfId="6" applyNumberFormat="1" applyFont="1" applyFill="1" applyBorder="1" applyAlignment="1">
      <alignment vertical="center"/>
    </xf>
    <xf numFmtId="0" fontId="5" fillId="2" borderId="8" xfId="6" applyNumberFormat="1" applyFont="1" applyFill="1" applyBorder="1" applyAlignment="1">
      <alignment vertical="center"/>
    </xf>
    <xf numFmtId="0" fontId="5" fillId="2" borderId="8" xfId="6" applyNumberFormat="1" applyFont="1" applyFill="1" applyBorder="1" applyAlignment="1">
      <alignment horizontal="left" vertical="center" indent="1"/>
    </xf>
    <xf numFmtId="0" fontId="6" fillId="8" borderId="8" xfId="0" applyFont="1" applyFill="1" applyBorder="1" applyAlignment="1">
      <alignment horizontal="left" vertical="center" indent="1"/>
    </xf>
    <xf numFmtId="0" fontId="6" fillId="5" borderId="8" xfId="0" applyFont="1" applyFill="1" applyBorder="1" applyAlignment="1">
      <alignment horizontal="left" vertical="center" indent="1"/>
    </xf>
    <xf numFmtId="0" fontId="5" fillId="2" borderId="8" xfId="0" quotePrefix="1" applyFont="1" applyFill="1" applyBorder="1" applyAlignment="1">
      <alignment horizontal="left" vertical="center" wrapText="1"/>
    </xf>
    <xf numFmtId="0" fontId="5" fillId="2" borderId="8" xfId="0" quotePrefix="1" applyFont="1" applyFill="1" applyBorder="1" applyAlignment="1">
      <alignment horizontal="left" vertical="center" wrapText="1" indent="1"/>
    </xf>
    <xf numFmtId="0" fontId="11" fillId="2" borderId="8" xfId="0" quotePrefix="1" applyFont="1" applyFill="1" applyBorder="1" applyAlignment="1">
      <alignment horizontal="left" vertical="center" wrapText="1" indent="2"/>
    </xf>
    <xf numFmtId="0" fontId="11" fillId="3" borderId="8" xfId="6" applyNumberFormat="1" applyFont="1" applyFill="1" applyBorder="1" applyAlignment="1">
      <alignment horizontal="left" vertical="center" wrapText="1" indent="2"/>
    </xf>
    <xf numFmtId="0" fontId="12" fillId="3" borderId="8" xfId="6" applyNumberFormat="1" applyFont="1" applyFill="1" applyBorder="1" applyAlignment="1">
      <alignment horizontal="left" vertical="center" wrapText="1" indent="1"/>
    </xf>
    <xf numFmtId="0" fontId="6" fillId="2" borderId="8" xfId="0" applyFont="1" applyFill="1" applyBorder="1" applyAlignment="1">
      <alignment horizontal="center" vertical="center"/>
    </xf>
    <xf numFmtId="0" fontId="11" fillId="2" borderId="3" xfId="0" quotePrefix="1" applyFont="1" applyFill="1" applyBorder="1" applyAlignment="1">
      <alignment horizontal="center" vertical="center" wrapText="1"/>
    </xf>
    <xf numFmtId="0" fontId="11" fillId="3" borderId="3" xfId="6" applyNumberFormat="1" applyFont="1" applyFill="1" applyBorder="1" applyAlignment="1">
      <alignment horizontal="center" vertical="center" wrapText="1"/>
    </xf>
    <xf numFmtId="0" fontId="12" fillId="3" borderId="3" xfId="6" applyNumberFormat="1" applyFont="1" applyFill="1" applyBorder="1" applyAlignment="1">
      <alignment horizontal="center" vertical="center" wrapText="1"/>
    </xf>
    <xf numFmtId="0" fontId="6" fillId="2" borderId="92" xfId="2" quotePrefix="1" applyFont="1" applyFill="1" applyBorder="1" applyAlignment="1">
      <alignment horizontal="center" vertical="center"/>
    </xf>
    <xf numFmtId="0" fontId="23" fillId="0" borderId="55" xfId="0" applyFont="1" applyBorder="1" applyAlignment="1">
      <alignment vertical="center"/>
    </xf>
    <xf numFmtId="0" fontId="11" fillId="2" borderId="3" xfId="0" quotePrefix="1" applyFont="1" applyFill="1" applyBorder="1" applyAlignment="1">
      <alignment horizontal="left" vertical="center" wrapText="1" indent="2"/>
    </xf>
    <xf numFmtId="0" fontId="11" fillId="3" borderId="3" xfId="6" applyNumberFormat="1" applyFont="1" applyFill="1" applyBorder="1" applyAlignment="1">
      <alignment horizontal="left" vertical="center" wrapText="1" indent="2"/>
    </xf>
    <xf numFmtId="0" fontId="8" fillId="2" borderId="3" xfId="4" applyNumberFormat="1" applyFont="1" applyFill="1" applyBorder="1" applyAlignment="1">
      <alignment horizontal="left" vertical="center" indent="2"/>
    </xf>
    <xf numFmtId="168" fontId="8" fillId="2" borderId="0" xfId="5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2" borderId="19" xfId="3" applyFont="1" applyFill="1" applyBorder="1" applyAlignment="1">
      <alignment horizontal="center" vertical="center"/>
    </xf>
    <xf numFmtId="0" fontId="4" fillId="2" borderId="41" xfId="3" applyFont="1" applyFill="1" applyBorder="1" applyAlignment="1">
      <alignment horizontal="center" vertical="center"/>
    </xf>
    <xf numFmtId="0" fontId="15" fillId="2" borderId="8" xfId="4" applyNumberFormat="1" applyFont="1" applyFill="1" applyBorder="1" applyAlignment="1">
      <alignment horizontal="left" vertical="center" indent="1"/>
    </xf>
    <xf numFmtId="0" fontId="15" fillId="2" borderId="3" xfId="3" applyFont="1" applyFill="1" applyBorder="1" applyAlignment="1">
      <alignment horizontal="center" vertical="center"/>
    </xf>
    <xf numFmtId="164" fontId="26" fillId="2" borderId="43" xfId="4" applyFont="1" applyFill="1" applyBorder="1" applyAlignment="1">
      <alignment horizontal="center" vertical="center"/>
    </xf>
    <xf numFmtId="0" fontId="25" fillId="2" borderId="0" xfId="0" applyFont="1" applyFill="1"/>
    <xf numFmtId="41" fontId="0" fillId="2" borderId="0" xfId="0" applyNumberFormat="1" applyFill="1" applyAlignment="1">
      <alignment horizontal="left" indent="2"/>
    </xf>
    <xf numFmtId="0" fontId="4" fillId="2" borderId="93" xfId="2" applyFont="1" applyFill="1" applyBorder="1" applyAlignment="1">
      <alignment horizontal="center" vertical="center"/>
    </xf>
    <xf numFmtId="167" fontId="9" fillId="11" borderId="2" xfId="5" applyNumberFormat="1" applyFont="1" applyFill="1" applyBorder="1" applyAlignment="1">
      <alignment horizontal="center" vertical="center"/>
    </xf>
    <xf numFmtId="41" fontId="9" fillId="11" borderId="2" xfId="0" applyNumberFormat="1" applyFont="1" applyFill="1" applyBorder="1" applyAlignment="1">
      <alignment horizontal="center" vertical="center"/>
    </xf>
    <xf numFmtId="0" fontId="5" fillId="2" borderId="94" xfId="2" applyFont="1" applyFill="1" applyBorder="1" applyAlignment="1">
      <alignment horizontal="center" vertical="center"/>
    </xf>
    <xf numFmtId="0" fontId="5" fillId="7" borderId="25" xfId="2" applyFont="1" applyFill="1" applyBorder="1" applyAlignment="1">
      <alignment horizontal="center" vertical="center"/>
    </xf>
    <xf numFmtId="0" fontId="6" fillId="3" borderId="0" xfId="16" quotePrefix="1" applyNumberFormat="1" applyFont="1" applyFill="1" applyBorder="1" applyAlignment="1">
      <alignment horizontal="left" vertical="center" wrapText="1" indent="1"/>
    </xf>
    <xf numFmtId="41" fontId="6" fillId="2" borderId="0" xfId="2" applyNumberFormat="1" applyFont="1" applyFill="1" applyBorder="1" applyAlignment="1">
      <alignment horizontal="center" vertical="center"/>
    </xf>
    <xf numFmtId="41" fontId="6" fillId="2" borderId="64" xfId="2" applyNumberFormat="1" applyFont="1" applyFill="1" applyBorder="1" applyAlignment="1">
      <alignment horizontal="center" vertical="center"/>
    </xf>
    <xf numFmtId="0" fontId="5" fillId="3" borderId="64" xfId="6" applyNumberFormat="1" applyFont="1" applyFill="1" applyBorder="1" applyAlignment="1">
      <alignment horizontal="left" vertical="center" wrapText="1"/>
    </xf>
    <xf numFmtId="0" fontId="5" fillId="2" borderId="64" xfId="2" applyFont="1" applyFill="1" applyBorder="1" applyAlignment="1">
      <alignment horizontal="left" vertical="center"/>
    </xf>
    <xf numFmtId="0" fontId="6" fillId="3" borderId="64" xfId="6" quotePrefix="1" applyNumberFormat="1" applyFont="1" applyFill="1" applyBorder="1" applyAlignment="1">
      <alignment horizontal="left" vertical="center" wrapText="1" indent="1"/>
    </xf>
    <xf numFmtId="0" fontId="6" fillId="2" borderId="64" xfId="3" applyFont="1" applyFill="1" applyBorder="1" applyAlignment="1">
      <alignment horizontal="center" vertical="center"/>
    </xf>
    <xf numFmtId="0" fontId="6" fillId="3" borderId="64" xfId="16" quotePrefix="1" applyNumberFormat="1" applyFont="1" applyFill="1" applyBorder="1" applyAlignment="1">
      <alignment horizontal="left" vertical="center" wrapText="1" indent="1"/>
    </xf>
    <xf numFmtId="0" fontId="5" fillId="2" borderId="14" xfId="2" applyFont="1" applyFill="1" applyBorder="1" applyAlignment="1">
      <alignment vertical="center"/>
    </xf>
    <xf numFmtId="0" fontId="5" fillId="2" borderId="90" xfId="2" applyFont="1" applyFill="1" applyBorder="1" applyAlignment="1">
      <alignment vertical="center"/>
    </xf>
    <xf numFmtId="0" fontId="5" fillId="2" borderId="95" xfId="2" applyFont="1" applyFill="1" applyBorder="1" applyAlignment="1">
      <alignment horizontal="left" vertical="center"/>
    </xf>
    <xf numFmtId="0" fontId="6" fillId="2" borderId="67" xfId="2" applyFont="1" applyFill="1" applyBorder="1" applyAlignment="1">
      <alignment vertical="center"/>
    </xf>
    <xf numFmtId="0" fontId="6" fillId="2" borderId="96" xfId="2" applyFont="1" applyFill="1" applyBorder="1" applyAlignment="1">
      <alignment vertical="center"/>
    </xf>
    <xf numFmtId="41" fontId="6" fillId="2" borderId="96" xfId="2" applyNumberFormat="1" applyFont="1" applyFill="1" applyBorder="1" applyAlignment="1">
      <alignment vertical="center"/>
    </xf>
    <xf numFmtId="0" fontId="5" fillId="2" borderId="97" xfId="2" applyFont="1" applyFill="1" applyBorder="1" applyAlignment="1">
      <alignment horizontal="left" vertical="center"/>
    </xf>
    <xf numFmtId="0" fontId="5" fillId="2" borderId="8" xfId="0" quotePrefix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6" fillId="0" borderId="3" xfId="3" applyFont="1" applyBorder="1" applyAlignment="1">
      <alignment horizontal="center" vertical="center"/>
    </xf>
    <xf numFmtId="0" fontId="8" fillId="0" borderId="3" xfId="3" applyFont="1" applyBorder="1" applyAlignment="1">
      <alignment horizontal="center" vertical="center"/>
    </xf>
    <xf numFmtId="167" fontId="7" fillId="2" borderId="8" xfId="5" applyNumberFormat="1" applyFont="1" applyFill="1" applyBorder="1" applyAlignment="1">
      <alignment horizontal="center" vertical="center"/>
    </xf>
    <xf numFmtId="41" fontId="11" fillId="2" borderId="8" xfId="5" applyNumberFormat="1" applyFont="1" applyFill="1" applyBorder="1" applyAlignment="1">
      <alignment vertical="center"/>
    </xf>
    <xf numFmtId="0" fontId="5" fillId="2" borderId="3" xfId="0" quotePrefix="1" applyFont="1" applyFill="1" applyBorder="1" applyAlignment="1">
      <alignment horizontal="left" vertical="center" wrapText="1"/>
    </xf>
    <xf numFmtId="0" fontId="5" fillId="2" borderId="98" xfId="2" applyFont="1" applyFill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25" fillId="0" borderId="66" xfId="0" applyFont="1" applyBorder="1" applyAlignment="1">
      <alignment horizontal="left"/>
    </xf>
    <xf numFmtId="172" fontId="22" fillId="0" borderId="66" xfId="0" applyNumberFormat="1" applyFont="1" applyBorder="1" applyAlignment="1">
      <alignment horizontal="center"/>
    </xf>
    <xf numFmtId="167" fontId="4" fillId="0" borderId="99" xfId="5" applyNumberFormat="1" applyFont="1" applyFill="1" applyBorder="1" applyAlignment="1">
      <alignment horizontal="center" vertical="center"/>
    </xf>
    <xf numFmtId="41" fontId="7" fillId="2" borderId="8" xfId="5" applyNumberFormat="1" applyFont="1" applyFill="1" applyBorder="1" applyAlignment="1">
      <alignment vertical="center"/>
    </xf>
    <xf numFmtId="164" fontId="6" fillId="2" borderId="8" xfId="6" applyFont="1" applyFill="1" applyBorder="1" applyAlignment="1">
      <alignment horizontal="center" vertical="center"/>
    </xf>
    <xf numFmtId="164" fontId="8" fillId="0" borderId="8" xfId="6" applyFont="1" applyFill="1" applyBorder="1" applyAlignment="1">
      <alignment horizontal="center" vertical="center"/>
    </xf>
    <xf numFmtId="168" fontId="8" fillId="2" borderId="8" xfId="5" applyNumberFormat="1" applyFont="1" applyFill="1" applyBorder="1" applyAlignment="1">
      <alignment vertical="center"/>
    </xf>
    <xf numFmtId="168" fontId="6" fillId="2" borderId="8" xfId="5" applyNumberFormat="1" applyFont="1" applyFill="1" applyBorder="1" applyAlignment="1">
      <alignment vertical="center"/>
    </xf>
    <xf numFmtId="41" fontId="8" fillId="2" borderId="0" xfId="5" applyNumberFormat="1" applyFont="1" applyFill="1" applyBorder="1" applyAlignment="1">
      <alignment vertical="center"/>
    </xf>
    <xf numFmtId="41" fontId="8" fillId="2" borderId="8" xfId="1" applyFont="1" applyFill="1" applyBorder="1" applyAlignment="1">
      <alignment horizontal="center" vertical="center"/>
    </xf>
    <xf numFmtId="164" fontId="11" fillId="2" borderId="8" xfId="4" applyFont="1" applyFill="1" applyBorder="1" applyAlignment="1">
      <alignment vertical="center"/>
    </xf>
    <xf numFmtId="164" fontId="11" fillId="2" borderId="0" xfId="4" applyFont="1" applyFill="1" applyBorder="1" applyAlignment="1">
      <alignment horizontal="center" vertical="center"/>
    </xf>
    <xf numFmtId="164" fontId="11" fillId="2" borderId="8" xfId="4" applyFont="1" applyFill="1" applyBorder="1" applyAlignment="1">
      <alignment horizontal="center" vertical="center"/>
    </xf>
    <xf numFmtId="0" fontId="11" fillId="2" borderId="8" xfId="3" applyFont="1" applyFill="1" applyBorder="1" applyAlignment="1">
      <alignment horizontal="center" vertical="center"/>
    </xf>
    <xf numFmtId="167" fontId="6" fillId="2" borderId="92" xfId="5" applyNumberFormat="1" applyFont="1" applyFill="1" applyBorder="1" applyAlignment="1">
      <alignment vertical="center"/>
    </xf>
    <xf numFmtId="41" fontId="6" fillId="0" borderId="64" xfId="5" applyNumberFormat="1" applyFont="1" applyFill="1" applyBorder="1" applyAlignment="1">
      <alignment horizontal="center" vertical="center"/>
    </xf>
    <xf numFmtId="41" fontId="11" fillId="2" borderId="64" xfId="2" applyNumberFormat="1" applyFont="1" applyFill="1" applyBorder="1" applyAlignment="1">
      <alignment vertical="center"/>
    </xf>
    <xf numFmtId="41" fontId="6" fillId="2" borderId="100" xfId="2" applyNumberFormat="1" applyFont="1" applyFill="1" applyBorder="1" applyAlignment="1">
      <alignment vertical="center"/>
    </xf>
    <xf numFmtId="41" fontId="5" fillId="2" borderId="65" xfId="2" applyNumberFormat="1" applyFont="1" applyFill="1" applyBorder="1" applyAlignment="1">
      <alignment vertical="center"/>
    </xf>
    <xf numFmtId="41" fontId="6" fillId="2" borderId="101" xfId="2" applyNumberFormat="1" applyFont="1" applyFill="1" applyBorder="1" applyAlignment="1">
      <alignment vertical="center"/>
    </xf>
    <xf numFmtId="167" fontId="4" fillId="2" borderId="102" xfId="5" applyNumberFormat="1" applyFont="1" applyFill="1" applyBorder="1" applyAlignment="1">
      <alignment horizontal="center" vertical="center"/>
    </xf>
    <xf numFmtId="41" fontId="26" fillId="2" borderId="0" xfId="2" applyNumberFormat="1" applyFont="1" applyFill="1" applyBorder="1" applyAlignment="1">
      <alignment vertical="center"/>
    </xf>
    <xf numFmtId="164" fontId="13" fillId="2" borderId="8" xfId="4" applyFont="1" applyFill="1" applyBorder="1" applyAlignment="1">
      <alignment horizontal="center" vertical="center"/>
    </xf>
    <xf numFmtId="41" fontId="4" fillId="2" borderId="103" xfId="0" applyNumberFormat="1" applyFont="1" applyFill="1" applyBorder="1" applyAlignment="1">
      <alignment horizontal="center" vertical="center"/>
    </xf>
    <xf numFmtId="0" fontId="25" fillId="2" borderId="64" xfId="0" applyFont="1" applyFill="1" applyBorder="1"/>
    <xf numFmtId="41" fontId="5" fillId="2" borderId="104" xfId="2" applyNumberFormat="1" applyFont="1" applyFill="1" applyBorder="1" applyAlignment="1">
      <alignment vertical="center"/>
    </xf>
    <xf numFmtId="41" fontId="6" fillId="2" borderId="105" xfId="2" applyNumberFormat="1" applyFont="1" applyFill="1" applyBorder="1" applyAlignment="1">
      <alignment vertical="center"/>
    </xf>
    <xf numFmtId="41" fontId="6" fillId="2" borderId="106" xfId="2" applyNumberFormat="1" applyFont="1" applyFill="1" applyBorder="1" applyAlignment="1">
      <alignment vertical="center"/>
    </xf>
    <xf numFmtId="41" fontId="6" fillId="2" borderId="65" xfId="2" applyNumberFormat="1" applyFont="1" applyFill="1" applyBorder="1" applyAlignment="1">
      <alignment vertical="center"/>
    </xf>
    <xf numFmtId="0" fontId="6" fillId="2" borderId="8" xfId="0" quotePrefix="1" applyFont="1" applyFill="1" applyBorder="1" applyAlignment="1">
      <alignment horizontal="center" vertical="center" wrapText="1"/>
    </xf>
    <xf numFmtId="0" fontId="11" fillId="2" borderId="0" xfId="2" applyFont="1" applyFill="1" applyBorder="1" applyAlignment="1">
      <alignment horizontal="center" vertical="center"/>
    </xf>
    <xf numFmtId="0" fontId="11" fillId="2" borderId="0" xfId="3" applyFont="1" applyFill="1" applyBorder="1" applyAlignment="1">
      <alignment horizontal="center" vertical="center"/>
    </xf>
    <xf numFmtId="167" fontId="7" fillId="2" borderId="5" xfId="5" applyNumberFormat="1" applyFont="1" applyFill="1" applyBorder="1" applyAlignment="1">
      <alignment horizontal="center" vertical="center"/>
    </xf>
    <xf numFmtId="41" fontId="7" fillId="2" borderId="5" xfId="5" applyNumberFormat="1" applyFont="1" applyFill="1" applyBorder="1" applyAlignment="1">
      <alignment vertical="center"/>
    </xf>
    <xf numFmtId="41" fontId="6" fillId="2" borderId="5" xfId="5" applyNumberFormat="1" applyFont="1" applyFill="1" applyBorder="1" applyAlignment="1">
      <alignment vertical="center"/>
    </xf>
    <xf numFmtId="167" fontId="6" fillId="2" borderId="27" xfId="5" applyNumberFormat="1" applyFont="1" applyFill="1" applyBorder="1" applyAlignment="1">
      <alignment vertical="center"/>
    </xf>
    <xf numFmtId="0" fontId="5" fillId="0" borderId="41" xfId="3" applyFont="1" applyBorder="1" applyAlignment="1">
      <alignment horizontal="center" vertical="center"/>
    </xf>
    <xf numFmtId="0" fontId="6" fillId="0" borderId="8" xfId="4" applyNumberFormat="1" applyFont="1" applyFill="1" applyBorder="1" applyAlignment="1">
      <alignment horizontal="left" vertical="center" indent="1"/>
    </xf>
    <xf numFmtId="164" fontId="8" fillId="0" borderId="8" xfId="4" applyFont="1" applyFill="1" applyBorder="1" applyAlignment="1">
      <alignment horizontal="center" vertical="center"/>
    </xf>
    <xf numFmtId="41" fontId="8" fillId="0" borderId="64" xfId="2" applyNumberFormat="1" applyFont="1" applyBorder="1" applyAlignment="1">
      <alignment vertical="center"/>
    </xf>
    <xf numFmtId="41" fontId="0" fillId="0" borderId="0" xfId="1" applyFont="1" applyFill="1"/>
    <xf numFmtId="41" fontId="7" fillId="2" borderId="14" xfId="0" applyNumberFormat="1" applyFont="1" applyFill="1" applyBorder="1" applyAlignment="1">
      <alignment horizontal="center" vertical="center"/>
    </xf>
    <xf numFmtId="41" fontId="6" fillId="2" borderId="14" xfId="5" applyNumberFormat="1" applyFont="1" applyFill="1" applyBorder="1" applyAlignment="1">
      <alignment horizontal="center" vertical="center"/>
    </xf>
    <xf numFmtId="41" fontId="0" fillId="2" borderId="0" xfId="1" applyFont="1" applyFill="1" applyBorder="1"/>
    <xf numFmtId="164" fontId="6" fillId="2" borderId="4" xfId="6" applyFont="1" applyFill="1" applyBorder="1" applyAlignment="1">
      <alignment horizontal="center" vertical="center"/>
    </xf>
    <xf numFmtId="164" fontId="11" fillId="2" borderId="4" xfId="4" applyFont="1" applyFill="1" applyBorder="1" applyAlignment="1">
      <alignment horizontal="center" vertical="center"/>
    </xf>
    <xf numFmtId="167" fontId="7" fillId="2" borderId="64" xfId="5" applyNumberFormat="1" applyFont="1" applyFill="1" applyBorder="1" applyAlignment="1">
      <alignment horizontal="center" vertical="center"/>
    </xf>
    <xf numFmtId="164" fontId="6" fillId="2" borderId="64" xfId="4" applyFont="1" applyFill="1" applyBorder="1" applyAlignment="1">
      <alignment horizontal="center" vertical="center"/>
    </xf>
    <xf numFmtId="16" fontId="0" fillId="2" borderId="0" xfId="0" applyNumberFormat="1" applyFill="1"/>
    <xf numFmtId="41" fontId="8" fillId="2" borderId="0" xfId="5" applyNumberFormat="1" applyFont="1" applyFill="1" applyAlignment="1">
      <alignment horizontal="center" vertical="center"/>
    </xf>
    <xf numFmtId="0" fontId="6" fillId="0" borderId="8" xfId="4" applyNumberFormat="1" applyFont="1" applyFill="1" applyBorder="1" applyAlignment="1">
      <alignment horizontal="center" vertical="center"/>
    </xf>
    <xf numFmtId="0" fontId="29" fillId="2" borderId="41" xfId="3" applyFont="1" applyFill="1" applyBorder="1" applyAlignment="1">
      <alignment horizontal="center" vertical="center"/>
    </xf>
    <xf numFmtId="41" fontId="13" fillId="2" borderId="64" xfId="5" applyNumberFormat="1" applyFont="1" applyFill="1" applyBorder="1" applyAlignment="1">
      <alignment horizontal="center" vertical="center"/>
    </xf>
    <xf numFmtId="41" fontId="28" fillId="2" borderId="0" xfId="1" applyFont="1" applyFill="1"/>
    <xf numFmtId="0" fontId="28" fillId="2" borderId="0" xfId="0" applyFont="1" applyFill="1"/>
    <xf numFmtId="16" fontId="28" fillId="2" borderId="0" xfId="0" applyNumberFormat="1" applyFont="1" applyFill="1"/>
    <xf numFmtId="0" fontId="28" fillId="0" borderId="0" xfId="0" applyFont="1"/>
    <xf numFmtId="41" fontId="28" fillId="0" borderId="0" xfId="0" applyNumberFormat="1" applyFont="1"/>
    <xf numFmtId="41" fontId="32" fillId="0" borderId="0" xfId="0" applyNumberFormat="1" applyFont="1"/>
    <xf numFmtId="0" fontId="32" fillId="0" borderId="0" xfId="0" applyFont="1"/>
    <xf numFmtId="0" fontId="31" fillId="2" borderId="8" xfId="3" applyFont="1" applyFill="1" applyBorder="1" applyAlignment="1">
      <alignment horizontal="center" vertical="center"/>
    </xf>
    <xf numFmtId="41" fontId="32" fillId="2" borderId="0" xfId="0" applyNumberFormat="1" applyFont="1" applyFill="1"/>
    <xf numFmtId="0" fontId="31" fillId="2" borderId="0" xfId="4" applyNumberFormat="1" applyFont="1" applyFill="1" applyBorder="1" applyAlignment="1">
      <alignment horizontal="center" vertical="center"/>
    </xf>
    <xf numFmtId="0" fontId="31" fillId="2" borderId="0" xfId="3" applyFont="1" applyFill="1" applyBorder="1" applyAlignment="1">
      <alignment horizontal="center" vertical="center"/>
    </xf>
    <xf numFmtId="0" fontId="32" fillId="2" borderId="0" xfId="0" applyFont="1" applyFill="1"/>
    <xf numFmtId="0" fontId="30" fillId="2" borderId="41" xfId="3" applyFont="1" applyFill="1" applyBorder="1" applyAlignment="1">
      <alignment horizontal="center" vertical="center"/>
    </xf>
    <xf numFmtId="41" fontId="32" fillId="2" borderId="0" xfId="1" applyFont="1" applyFill="1"/>
    <xf numFmtId="0" fontId="33" fillId="0" borderId="0" xfId="0" applyFont="1" applyAlignment="1">
      <alignment horizontal="left" vertical="center" wrapText="1" indent="1"/>
    </xf>
    <xf numFmtId="0" fontId="5" fillId="0" borderId="47" xfId="2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indent="1"/>
    </xf>
    <xf numFmtId="0" fontId="6" fillId="0" borderId="3" xfId="4" applyNumberFormat="1" applyFont="1" applyFill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41" fontId="6" fillId="0" borderId="8" xfId="5" applyNumberFormat="1" applyFont="1" applyFill="1" applyBorder="1" applyAlignment="1">
      <alignment vertical="center"/>
    </xf>
    <xf numFmtId="0" fontId="6" fillId="0" borderId="3" xfId="4" quotePrefix="1" applyNumberFormat="1" applyFont="1" applyFill="1" applyBorder="1" applyAlignment="1">
      <alignment horizontal="left" vertical="center" indent="1"/>
    </xf>
    <xf numFmtId="164" fontId="6" fillId="0" borderId="4" xfId="4" applyFont="1" applyFill="1" applyBorder="1" applyAlignment="1">
      <alignment horizontal="center" vertical="center"/>
    </xf>
    <xf numFmtId="0" fontId="6" fillId="0" borderId="0" xfId="4" quotePrefix="1" applyNumberFormat="1" applyFont="1" applyFill="1" applyBorder="1" applyAlignment="1">
      <alignment horizontal="left" vertical="center" indent="1"/>
    </xf>
    <xf numFmtId="164" fontId="6" fillId="0" borderId="8" xfId="4" applyFont="1" applyFill="1" applyBorder="1" applyAlignment="1">
      <alignment horizontal="center" vertical="center"/>
    </xf>
    <xf numFmtId="0" fontId="5" fillId="0" borderId="0" xfId="4" quotePrefix="1" applyNumberFormat="1" applyFont="1" applyFill="1" applyBorder="1" applyAlignment="1">
      <alignment horizontal="left" vertical="center" indent="1"/>
    </xf>
    <xf numFmtId="0" fontId="5" fillId="0" borderId="3" xfId="4" applyNumberFormat="1" applyFont="1" applyFill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164" fontId="5" fillId="0" borderId="8" xfId="4" applyFont="1" applyFill="1" applyBorder="1" applyAlignment="1">
      <alignment horizontal="center" vertical="center"/>
    </xf>
    <xf numFmtId="41" fontId="5" fillId="0" borderId="64" xfId="5" applyNumberFormat="1" applyFont="1" applyFill="1" applyBorder="1" applyAlignment="1">
      <alignment horizontal="center" vertical="center"/>
    </xf>
    <xf numFmtId="41" fontId="27" fillId="0" borderId="0" xfId="0" applyNumberFormat="1" applyFont="1"/>
    <xf numFmtId="0" fontId="27" fillId="0" borderId="0" xfId="0" applyFont="1"/>
    <xf numFmtId="0" fontId="30" fillId="2" borderId="41" xfId="2" applyFont="1" applyFill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center" vertical="center" wrapText="1"/>
    </xf>
    <xf numFmtId="41" fontId="34" fillId="0" borderId="0" xfId="0" applyNumberFormat="1" applyFont="1"/>
    <xf numFmtId="0" fontId="34" fillId="0" borderId="0" xfId="0" applyFont="1"/>
    <xf numFmtId="0" fontId="6" fillId="12" borderId="0" xfId="4" quotePrefix="1" applyNumberFormat="1" applyFont="1" applyFill="1" applyBorder="1" applyAlignment="1">
      <alignment horizontal="left" vertical="center" indent="1"/>
    </xf>
    <xf numFmtId="0" fontId="6" fillId="12" borderId="3" xfId="4" applyNumberFormat="1" applyFont="1" applyFill="1" applyBorder="1" applyAlignment="1">
      <alignment horizontal="left" vertical="center" indent="1"/>
    </xf>
    <xf numFmtId="0" fontId="6" fillId="12" borderId="8" xfId="0" quotePrefix="1" applyFont="1" applyFill="1" applyBorder="1" applyAlignment="1">
      <alignment horizontal="left" vertical="center" wrapText="1" indent="2"/>
    </xf>
    <xf numFmtId="0" fontId="6" fillId="12" borderId="8" xfId="3" applyFont="1" applyFill="1" applyBorder="1" applyAlignment="1">
      <alignment horizontal="center" vertical="center"/>
    </xf>
    <xf numFmtId="0" fontId="6" fillId="12" borderId="3" xfId="3" applyFont="1" applyFill="1" applyBorder="1" applyAlignment="1">
      <alignment horizontal="center" vertical="center"/>
    </xf>
    <xf numFmtId="164" fontId="6" fillId="12" borderId="8" xfId="4" applyFont="1" applyFill="1" applyBorder="1" applyAlignment="1">
      <alignment horizontal="center" vertical="center"/>
    </xf>
    <xf numFmtId="41" fontId="6" fillId="12" borderId="64" xfId="2" applyNumberFormat="1" applyFont="1" applyFill="1" applyBorder="1" applyAlignment="1">
      <alignment vertical="center"/>
    </xf>
    <xf numFmtId="0" fontId="5" fillId="12" borderId="3" xfId="0" quotePrefix="1" applyFont="1" applyFill="1" applyBorder="1" applyAlignment="1">
      <alignment horizontal="left" vertical="center" wrapText="1" indent="1"/>
    </xf>
    <xf numFmtId="0" fontId="6" fillId="12" borderId="3" xfId="0" quotePrefix="1" applyFont="1" applyFill="1" applyBorder="1" applyAlignment="1">
      <alignment horizontal="left" vertical="center" wrapText="1" indent="2"/>
    </xf>
    <xf numFmtId="0" fontId="6" fillId="12" borderId="3" xfId="4" applyNumberFormat="1" applyFont="1" applyFill="1" applyBorder="1" applyAlignment="1">
      <alignment horizontal="center" vertical="center"/>
    </xf>
    <xf numFmtId="41" fontId="6" fillId="12" borderId="64" xfId="5" applyNumberFormat="1" applyFont="1" applyFill="1" applyBorder="1" applyAlignment="1">
      <alignment horizontal="center" vertical="center"/>
    </xf>
    <xf numFmtId="0" fontId="6" fillId="12" borderId="3" xfId="4" quotePrefix="1" applyNumberFormat="1" applyFont="1" applyFill="1" applyBorder="1" applyAlignment="1">
      <alignment horizontal="left" vertical="center" indent="1"/>
    </xf>
    <xf numFmtId="0" fontId="6" fillId="12" borderId="8" xfId="4" applyNumberFormat="1" applyFont="1" applyFill="1" applyBorder="1" applyAlignment="1">
      <alignment horizontal="center" vertical="center"/>
    </xf>
    <xf numFmtId="164" fontId="6" fillId="12" borderId="4" xfId="4" applyFont="1" applyFill="1" applyBorder="1" applyAlignment="1">
      <alignment horizontal="center" vertical="center"/>
    </xf>
    <xf numFmtId="41" fontId="34" fillId="2" borderId="0" xfId="1" applyFont="1" applyFill="1"/>
    <xf numFmtId="0" fontId="34" fillId="2" borderId="0" xfId="0" applyFont="1" applyFill="1"/>
    <xf numFmtId="0" fontId="6" fillId="2" borderId="3" xfId="4" applyNumberFormat="1" applyFont="1" applyFill="1" applyBorder="1" applyAlignment="1">
      <alignment horizontal="left" vertical="center" indent="2"/>
    </xf>
    <xf numFmtId="0" fontId="29" fillId="0" borderId="47" xfId="3" applyFont="1" applyBorder="1" applyAlignment="1">
      <alignment horizontal="center" vertical="center"/>
    </xf>
    <xf numFmtId="0" fontId="5" fillId="12" borderId="41" xfId="2" applyFont="1" applyFill="1" applyBorder="1" applyAlignment="1">
      <alignment horizontal="center" vertical="center"/>
    </xf>
    <xf numFmtId="41" fontId="34" fillId="12" borderId="0" xfId="1" applyFont="1" applyFill="1"/>
    <xf numFmtId="0" fontId="34" fillId="12" borderId="0" xfId="0" applyFont="1" applyFill="1"/>
    <xf numFmtId="0" fontId="6" fillId="12" borderId="3" xfId="6" applyNumberFormat="1" applyFont="1" applyFill="1" applyBorder="1" applyAlignment="1">
      <alignment horizontal="left" vertical="center" indent="1"/>
    </xf>
    <xf numFmtId="168" fontId="6" fillId="12" borderId="8" xfId="5" applyNumberFormat="1" applyFont="1" applyFill="1" applyBorder="1" applyAlignment="1">
      <alignment vertical="center"/>
    </xf>
    <xf numFmtId="0" fontId="5" fillId="0" borderId="25" xfId="3" applyFont="1" applyBorder="1" applyAlignment="1">
      <alignment horizontal="center" vertical="center"/>
    </xf>
    <xf numFmtId="0" fontId="5" fillId="0" borderId="25" xfId="4" applyNumberFormat="1" applyFont="1" applyFill="1" applyBorder="1" applyAlignment="1">
      <alignment horizontal="left" vertical="center"/>
    </xf>
    <xf numFmtId="0" fontId="6" fillId="0" borderId="25" xfId="4" applyNumberFormat="1" applyFont="1" applyFill="1" applyBorder="1" applyAlignment="1">
      <alignment horizontal="center" vertical="center"/>
    </xf>
    <xf numFmtId="0" fontId="6" fillId="0" borderId="25" xfId="3" applyFont="1" applyBorder="1" applyAlignment="1">
      <alignment horizontal="center" vertical="center"/>
    </xf>
    <xf numFmtId="164" fontId="6" fillId="0" borderId="25" xfId="4" applyFont="1" applyFill="1" applyBorder="1" applyAlignment="1">
      <alignment horizontal="center" vertical="center"/>
    </xf>
    <xf numFmtId="168" fontId="6" fillId="0" borderId="25" xfId="5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1" fillId="0" borderId="18" xfId="0" applyFont="1" applyBorder="1" applyAlignment="1">
      <alignment horizontal="center"/>
    </xf>
    <xf numFmtId="0" fontId="6" fillId="2" borderId="3" xfId="4" applyNumberFormat="1" applyFont="1" applyFill="1" applyBorder="1" applyAlignment="1">
      <alignment horizontal="center" vertical="center"/>
    </xf>
    <xf numFmtId="164" fontId="8" fillId="2" borderId="4" xfId="4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41" fontId="6" fillId="2" borderId="64" xfId="5" applyNumberFormat="1" applyFont="1" applyFill="1" applyBorder="1" applyAlignment="1">
      <alignment horizontal="center" vertical="center"/>
    </xf>
    <xf numFmtId="164" fontId="6" fillId="2" borderId="8" xfId="4" applyFont="1" applyFill="1" applyBorder="1" applyAlignment="1">
      <alignment horizontal="center" vertical="center"/>
    </xf>
    <xf numFmtId="0" fontId="11" fillId="2" borderId="3" xfId="3" applyFont="1" applyFill="1" applyBorder="1" applyAlignment="1">
      <alignment horizontal="center" vertical="center"/>
    </xf>
    <xf numFmtId="41" fontId="34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16" fontId="34" fillId="0" borderId="0" xfId="0" applyNumberFormat="1" applyFont="1" applyAlignment="1">
      <alignment horizontal="center"/>
    </xf>
    <xf numFmtId="0" fontId="21" fillId="2" borderId="18" xfId="0" applyFont="1" applyFill="1" applyBorder="1" applyAlignment="1">
      <alignment horizontal="center"/>
    </xf>
  </cellXfs>
  <cellStyles count="110">
    <cellStyle name="=C:\WINDOWS\SYSTEM32\COMMAND.COM" xfId="2" xr:uid="{C02D7A79-0059-4C46-9D9A-0F71C3FA962B}"/>
    <cellStyle name="=C:\WINDOWS\SYSTEM32\COMMAND.COM 2" xfId="8" xr:uid="{26DBAE43-845F-44F1-B479-D237582BF540}"/>
    <cellStyle name="=C:\WINDOWS\SYSTEM32\COMMAND.COM 2 2" xfId="3" xr:uid="{AB8E86AE-F7DA-45E0-93E4-48FE236B010D}"/>
    <cellStyle name="=C:\WINDOWS\SYSTEM32\COMMAND.COM 2 3" xfId="9" xr:uid="{6C7FA501-B7F2-47C0-AAE0-F85218AF64D0}"/>
    <cellStyle name="=C:\WINDOWS\SYSTEM32\COMMAND.COM 3" xfId="10" xr:uid="{493C81B7-4B3E-4BBA-8081-1201F9E37EB3}"/>
    <cellStyle name="=C:\WINDOWS\SYSTEM32\COMMAND.COM_LIST INVOICE" xfId="11" xr:uid="{BFF7EDA7-51EF-47C3-8323-635E1071C681}"/>
    <cellStyle name="Comma [0]" xfId="1" builtinId="6"/>
    <cellStyle name="Comma [0] 10" xfId="4" xr:uid="{5A64F50E-4E80-4A6A-96FC-C033E0AA4DC4}"/>
    <cellStyle name="Comma [0] 10 2" xfId="77" xr:uid="{B54B613E-91D6-47E8-9676-FCBB9EFA59FE}"/>
    <cellStyle name="Comma [0] 10 3" xfId="14" xr:uid="{646C16DE-C259-411A-AC0F-6B9D174497A2}"/>
    <cellStyle name="Comma [0] 11" xfId="15" xr:uid="{3E2BDB1D-E9FF-4464-8F87-DF9A85A1B283}"/>
    <cellStyle name="Comma [0] 12" xfId="6" xr:uid="{25C97E92-AD07-4BA4-AD2E-EA350F5F180F}"/>
    <cellStyle name="Comma [0] 12 2" xfId="16" xr:uid="{4CFD28DA-9CC9-4C0D-B88D-2F08EB626E4D}"/>
    <cellStyle name="Comma [0] 13" xfId="17" xr:uid="{9CB2D71F-AB3B-4FEA-AF16-BF324A5E24C2}"/>
    <cellStyle name="Comma [0] 14" xfId="13" xr:uid="{BBEF7541-26DC-41E2-9AF8-205B1202B2E7}"/>
    <cellStyle name="Comma [0] 2" xfId="18" xr:uid="{B3E0E337-B599-458A-9B57-E8F5362D63C8}"/>
    <cellStyle name="Comma [0] 2 2" xfId="19" xr:uid="{C33B0E6D-3B06-425F-8315-64CE577E0E90}"/>
    <cellStyle name="Comma [0] 3" xfId="20" xr:uid="{2E6E9DC2-E615-4D53-97E4-6C56EAB49F01}"/>
    <cellStyle name="Comma [0] 3 2" xfId="21" xr:uid="{DA548824-F62D-41E0-8629-D86E6AA1E431}"/>
    <cellStyle name="Comma [0] 3 3" xfId="22" xr:uid="{12E84BF1-BBD0-436C-AE25-8B10AC9E3161}"/>
    <cellStyle name="Comma [0] 3 3 2" xfId="23" xr:uid="{A11D6D98-ED87-49B3-B79D-F62A4B7A9957}"/>
    <cellStyle name="Comma [0] 3 3 2 2 2" xfId="80" xr:uid="{9C664BC0-92AB-42CD-86E3-EF1C7AEAEF7A}"/>
    <cellStyle name="Comma [0] 3 4" xfId="24" xr:uid="{E3E15B64-60EF-4ED7-B35B-E76B83C214A8}"/>
    <cellStyle name="Comma [0] 3 5" xfId="76" xr:uid="{B078129C-C05C-4EB3-9025-50B954A30DA1}"/>
    <cellStyle name="Comma [0] 4" xfId="25" xr:uid="{CF252BEF-DFF8-4D8B-9D34-9145300BEBC9}"/>
    <cellStyle name="Comma [0] 4 2" xfId="26" xr:uid="{AF1523E3-7F2A-4F9E-BC8B-6DAFFD418936}"/>
    <cellStyle name="Comma [0] 4 3" xfId="27" xr:uid="{9B795269-A901-45A9-8142-254C780753A1}"/>
    <cellStyle name="Comma [0] 5" xfId="28" xr:uid="{8581F17E-4C99-4807-9325-16F55459D1ED}"/>
    <cellStyle name="Comma [0] 6" xfId="29" xr:uid="{43B5527F-8020-4537-97A9-E96B36A341B3}"/>
    <cellStyle name="Comma [0] 7" xfId="30" xr:uid="{8BFFFEF8-96B3-43C3-A3EA-117BA777E053}"/>
    <cellStyle name="Comma [0] 8" xfId="31" xr:uid="{43E098F3-F4CE-439E-B932-8DCDA986EB96}"/>
    <cellStyle name="Comma [0] 9" xfId="32" xr:uid="{608FF520-55BC-4C52-BE96-69C055D7703B}"/>
    <cellStyle name="Comma 10" xfId="5" xr:uid="{3E58937F-E691-4ABB-B073-A27B49982FD9}"/>
    <cellStyle name="Comma 10 2" xfId="33" xr:uid="{DBB23AC7-5250-44F6-965B-0BF5A2F37C26}"/>
    <cellStyle name="Comma 11" xfId="34" xr:uid="{5386314D-8B7C-45B3-9802-06E74B698EB0}"/>
    <cellStyle name="Comma 12" xfId="35" xr:uid="{AD0FD718-E91D-4698-834C-682EA394D4DB}"/>
    <cellStyle name="Comma 13" xfId="12" xr:uid="{32B02930-6994-41A0-94B3-B77F23C8C706}"/>
    <cellStyle name="Comma 14" xfId="82" xr:uid="{92EE716A-A625-4891-8614-0B0D02127FBB}"/>
    <cellStyle name="Comma 15" xfId="87" xr:uid="{0235B324-3D11-4799-B3F9-0F7C869819F9}"/>
    <cellStyle name="Comma 16" xfId="83" xr:uid="{35C28ACF-5A31-42DF-A938-045B8EB3B490}"/>
    <cellStyle name="Comma 17" xfId="88" xr:uid="{03EE7B56-59A1-4CB0-9DFA-95B1D2E3698B}"/>
    <cellStyle name="Comma 18" xfId="102" xr:uid="{B218874C-8E78-4EB8-B1BE-2CA1E258564C}"/>
    <cellStyle name="Comma 19" xfId="90" xr:uid="{55D9F36E-2A60-496C-B547-90478DCE47C4}"/>
    <cellStyle name="Comma 2" xfId="36" xr:uid="{F2441B23-D677-433E-B2EE-5A5790D386DF}"/>
    <cellStyle name="Comma 2 2" xfId="37" xr:uid="{2F59595C-2070-4E5A-955C-2160CAF62F64}"/>
    <cellStyle name="Comma 20" xfId="100" xr:uid="{4F8B5479-0AE2-4023-805D-A21F66FC8DF7}"/>
    <cellStyle name="Comma 21" xfId="97" xr:uid="{147D6C7F-D22B-47F9-8CB4-9B938BC2209A}"/>
    <cellStyle name="Comma 22" xfId="104" xr:uid="{3026EDAA-72CD-4168-8789-6AC4D4673B0C}"/>
    <cellStyle name="Comma 23" xfId="92" xr:uid="{BBAB9667-D446-41A0-A4F3-FCB332362312}"/>
    <cellStyle name="Comma 24" xfId="99" xr:uid="{B37D3C2C-2307-48B5-904B-34C0BCABDB76}"/>
    <cellStyle name="Comma 25" xfId="98" xr:uid="{58290C97-95FB-4C71-A33E-8C4BFDDE64A2}"/>
    <cellStyle name="Comma 26" xfId="106" xr:uid="{E8667A0E-6B03-4C1B-910E-F0FFFACE81E4}"/>
    <cellStyle name="Comma 27" xfId="107" xr:uid="{00AB28FF-C687-43AA-8E43-360170AF9E5D}"/>
    <cellStyle name="Comma 28" xfId="93" xr:uid="{8F867911-2F9B-4FBA-96CE-B48F4503EF0D}"/>
    <cellStyle name="Comma 29" xfId="91" xr:uid="{21863E5F-4ACD-4F0B-B5A6-43794BDF4415}"/>
    <cellStyle name="Comma 3" xfId="38" xr:uid="{5726D285-F06E-417F-9D3F-B957436CC9D5}"/>
    <cellStyle name="Comma 30" xfId="109" xr:uid="{0E758929-DE71-4594-8C05-E7781518B4FE}"/>
    <cellStyle name="Comma 31" xfId="96" xr:uid="{632E9837-7EDE-4F02-805E-6474DBE047C6}"/>
    <cellStyle name="Comma 32" xfId="103" xr:uid="{2361F84E-347A-4B45-A331-E79C62A74DEE}"/>
    <cellStyle name="Comma 33" xfId="101" xr:uid="{91CDC30A-7BC9-4207-99FD-E0B833C0E630}"/>
    <cellStyle name="Comma 34" xfId="108" xr:uid="{DE22890B-71BB-418F-99F3-3CE2A7775504}"/>
    <cellStyle name="Comma 35" xfId="105" xr:uid="{9EC74400-47CF-4C45-B943-0267B06DA799}"/>
    <cellStyle name="Comma 36" xfId="89" xr:uid="{661D58D4-ECB3-4DFD-8012-28A6B0340A7A}"/>
    <cellStyle name="Comma 37" xfId="95" xr:uid="{B1DCD9EA-A660-4C28-A5A1-DF151A1EBA5F}"/>
    <cellStyle name="Comma 38" xfId="94" xr:uid="{98673B0B-B52F-4F7D-A233-B352A77D6EAC}"/>
    <cellStyle name="Comma 4" xfId="39" xr:uid="{65CF83ED-8708-4F13-A80F-6001D282EAD9}"/>
    <cellStyle name="Comma 5" xfId="40" xr:uid="{20BE8E10-DE3A-4FCD-B118-A5B9761DAEAE}"/>
    <cellStyle name="Comma 6" xfId="41" xr:uid="{093F6A4E-086D-441D-9D68-6C6720C19AC7}"/>
    <cellStyle name="Comma 7" xfId="42" xr:uid="{8632C4CD-7C6E-4D83-8BE7-1E20FBB2DFCC}"/>
    <cellStyle name="Comma 7 2" xfId="43" xr:uid="{2161ED1B-39A4-4E4E-8D90-70BBB8AE0DB0}"/>
    <cellStyle name="Comma 8" xfId="44" xr:uid="{E3D403F6-242F-4B4B-B5A2-02862C0A5784}"/>
    <cellStyle name="Comma 9" xfId="45" xr:uid="{D550E660-9C81-4D38-A44C-DD0C2682A8FA}"/>
    <cellStyle name="Currency [0] 2" xfId="47" xr:uid="{77832721-B36D-4CF3-9D4A-50D494AABF1D}"/>
    <cellStyle name="Currency [0] 3" xfId="81" xr:uid="{1CF23FDE-D0EF-422D-B07A-C067CB4D8F25}"/>
    <cellStyle name="Currency 10" xfId="85" xr:uid="{F8BC7925-828B-489F-A1DD-FB1C7B20E204}"/>
    <cellStyle name="Currency 2" xfId="48" xr:uid="{4E2CC477-4959-45F3-B547-85C263BAB032}"/>
    <cellStyle name="Currency 3" xfId="49" xr:uid="{FA7BA174-D603-4839-ABEC-0888F07F5153}"/>
    <cellStyle name="Currency 4" xfId="50" xr:uid="{14F5B03E-C675-479D-AAEE-61293DC2672B}"/>
    <cellStyle name="Currency 5" xfId="51" xr:uid="{AEEDC496-1D0F-43F6-8D88-2623900568A0}"/>
    <cellStyle name="Currency 6" xfId="78" xr:uid="{B56CAD4E-829D-4677-879F-6F509CCD69E4}"/>
    <cellStyle name="Currency 7" xfId="46" xr:uid="{E5DA3165-DC3F-44C1-BF2F-B70C1621B7DC}"/>
    <cellStyle name="Currency 8" xfId="86" xr:uid="{823DD02B-57E6-49FC-9649-9465392F2DFC}"/>
    <cellStyle name="Currency 9" xfId="84" xr:uid="{D74CB183-2165-48C0-9E33-99D4DDFE5157}"/>
    <cellStyle name="Excel Built-in Normal" xfId="52" xr:uid="{68C8E73D-C2BD-4E3B-B0D0-5E9C45DC668A}"/>
    <cellStyle name="Hyperlink 2" xfId="53" xr:uid="{B244EC0C-868A-45F0-97D2-3304E6503ADB}"/>
    <cellStyle name="Normal" xfId="0" builtinId="0"/>
    <cellStyle name="Normal 10" xfId="7" xr:uid="{843B0B44-A577-4E0F-B82B-BF230A997CDC}"/>
    <cellStyle name="Normal 11" xfId="54" xr:uid="{D1CC83C7-2612-459B-82B5-00F262E9D40F}"/>
    <cellStyle name="Normal 15" xfId="55" xr:uid="{08D80A46-4FD9-48BA-B149-0D6ECCF0AA3B}"/>
    <cellStyle name="Normal 2" xfId="56" xr:uid="{32C29314-70D7-4701-807E-393CB69D2CA4}"/>
    <cellStyle name="Normal 2 2" xfId="57" xr:uid="{AB0C6F2F-9568-40BF-9B58-8B8114C05C55}"/>
    <cellStyle name="Normal 2 2 2" xfId="58" xr:uid="{58DCC003-4A0F-4C78-9332-6E34AC760CA4}"/>
    <cellStyle name="Normal 2 3" xfId="59" xr:uid="{25660876-204E-4B8B-B9DF-CB607122A025}"/>
    <cellStyle name="Normal 2 3 2" xfId="60" xr:uid="{91E717CD-CE55-459B-A55B-6EB14CD1B8C8}"/>
    <cellStyle name="Normal 2 3 2 2 2" xfId="79" xr:uid="{268B906F-ACD0-422E-8F85-77D5215F1D06}"/>
    <cellStyle name="Normal 2 4" xfId="61" xr:uid="{D92D65B9-3D7C-43A4-BD6E-03BB9F01E7C2}"/>
    <cellStyle name="Normal 2 5" xfId="62" xr:uid="{A12F1150-8631-46C5-8AF5-FB53C208B694}"/>
    <cellStyle name="Normal 3" xfId="63" xr:uid="{43EF4A8A-F5D0-4A5B-90DB-AB6C0CCE54C8}"/>
    <cellStyle name="Normal 4" xfId="64" xr:uid="{AAE72408-6495-4FC8-85FB-8C4B9E1F8C9E}"/>
    <cellStyle name="Normal 5" xfId="65" xr:uid="{818E9F67-AA69-4F18-9220-AD59CACAD8B1}"/>
    <cellStyle name="Normal 6" xfId="66" xr:uid="{693BEA21-AA3B-40C9-9915-114153F58323}"/>
    <cellStyle name="Normal 6 2" xfId="67" xr:uid="{E716B985-9B0B-4D3F-BE17-BBBB8BE3BA63}"/>
    <cellStyle name="Normal 6 2 2" xfId="68" xr:uid="{62753096-0FEE-40CC-BC1B-2D66F39B121C}"/>
    <cellStyle name="Normal 7" xfId="69" xr:uid="{D8E7087D-279F-4653-A7B6-6B5BA65FC596}"/>
    <cellStyle name="Normal 8" xfId="70" xr:uid="{B550CA71-E43F-4DB8-9435-47D5A4541404}"/>
    <cellStyle name="Normal 9" xfId="71" xr:uid="{91EDABA5-7A1B-4FF2-81E0-3D0E42F406CA}"/>
    <cellStyle name="Percent 2" xfId="72" xr:uid="{1594BFB4-A08A-4373-9B73-AF80C2E6AD49}"/>
    <cellStyle name="一般_kingston Budget IndoCom10.3Agust'10 ('10 v.s.'09 budget comparison)" xfId="73" xr:uid="{9FE47C7C-B44A-4D47-822F-7B1F81D73C94}"/>
    <cellStyle name="千分位[0]_kingston Budget IndoCom10.3Agust'10 ('10 v.s.'09 budget comparison)" xfId="74" xr:uid="{033C6690-F838-44EF-99C9-5638E6414874}"/>
    <cellStyle name="千分位_kingston Budget IndoCom10.3Agust'10 ('10 v.s.'09 budget comparison)" xfId="75" xr:uid="{BE0D7840-0A57-43B8-9D35-A67F38CC8E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7</xdr:col>
      <xdr:colOff>461963</xdr:colOff>
      <xdr:row>8</xdr:row>
      <xdr:rowOff>156803</xdr:rowOff>
    </xdr:to>
    <xdr:pic>
      <xdr:nvPicPr>
        <xdr:cNvPr id="2" name="Picture 4" descr="excell-header.jpg">
          <a:extLst>
            <a:ext uri="{FF2B5EF4-FFF2-40B4-BE49-F238E27FC236}">
              <a16:creationId xmlns:a16="http://schemas.microsoft.com/office/drawing/2014/main" id="{659A3FB8-D84F-454F-A785-791EE41C8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90500"/>
          <a:ext cx="11358562" cy="14903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65549</xdr:colOff>
      <xdr:row>61</xdr:row>
      <xdr:rowOff>84839</xdr:rowOff>
    </xdr:from>
    <xdr:to>
      <xdr:col>1</xdr:col>
      <xdr:colOff>1786195</xdr:colOff>
      <xdr:row>66</xdr:row>
      <xdr:rowOff>131097</xdr:rowOff>
    </xdr:to>
    <xdr:pic>
      <xdr:nvPicPr>
        <xdr:cNvPr id="3" name="Picture 94" descr="TTD Stempel">
          <a:extLst>
            <a:ext uri="{FF2B5EF4-FFF2-40B4-BE49-F238E27FC236}">
              <a16:creationId xmlns:a16="http://schemas.microsoft.com/office/drawing/2014/main" id="{C025B69B-A0E7-4844-9927-B857BD279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149" y="21458939"/>
          <a:ext cx="1720646" cy="1046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47626</xdr:colOff>
      <xdr:row>71</xdr:row>
      <xdr:rowOff>0</xdr:rowOff>
    </xdr:from>
    <xdr:to>
      <xdr:col>6</xdr:col>
      <xdr:colOff>409575</xdr:colOff>
      <xdr:row>79</xdr:row>
      <xdr:rowOff>125362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66152985-DF7C-4E2A-A396-6349385E55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630"/>
        <a:stretch/>
      </xdr:blipFill>
      <xdr:spPr bwMode="auto">
        <a:xfrm>
          <a:off x="47626" y="15725775"/>
          <a:ext cx="10648949" cy="1649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7</xdr:col>
      <xdr:colOff>476250</xdr:colOff>
      <xdr:row>8</xdr:row>
      <xdr:rowOff>156803</xdr:rowOff>
    </xdr:to>
    <xdr:pic>
      <xdr:nvPicPr>
        <xdr:cNvPr id="3" name="Picture 4" descr="excell-header.jpg">
          <a:extLst>
            <a:ext uri="{FF2B5EF4-FFF2-40B4-BE49-F238E27FC236}">
              <a16:creationId xmlns:a16="http://schemas.microsoft.com/office/drawing/2014/main" id="{4663D5C5-D7B6-48A0-B4EE-EA7579A28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90500"/>
          <a:ext cx="11358562" cy="14903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65549</xdr:colOff>
      <xdr:row>101</xdr:row>
      <xdr:rowOff>84839</xdr:rowOff>
    </xdr:from>
    <xdr:to>
      <xdr:col>1</xdr:col>
      <xdr:colOff>1786195</xdr:colOff>
      <xdr:row>106</xdr:row>
      <xdr:rowOff>131097</xdr:rowOff>
    </xdr:to>
    <xdr:pic>
      <xdr:nvPicPr>
        <xdr:cNvPr id="5" name="Picture 94" descr="TTD Stempel">
          <a:extLst>
            <a:ext uri="{FF2B5EF4-FFF2-40B4-BE49-F238E27FC236}">
              <a16:creationId xmlns:a16="http://schemas.microsoft.com/office/drawing/2014/main" id="{8ADF1BEB-211E-4E22-B2E3-0D6B1279B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249" y="20554064"/>
          <a:ext cx="1720646" cy="1046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47626</xdr:colOff>
      <xdr:row>111</xdr:row>
      <xdr:rowOff>0</xdr:rowOff>
    </xdr:from>
    <xdr:to>
      <xdr:col>7</xdr:col>
      <xdr:colOff>333375</xdr:colOff>
      <xdr:row>119</xdr:row>
      <xdr:rowOff>125362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D3EF08AF-D142-46F6-A26A-71CB58AB99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630"/>
        <a:stretch/>
      </xdr:blipFill>
      <xdr:spPr bwMode="auto">
        <a:xfrm>
          <a:off x="47626" y="23622000"/>
          <a:ext cx="11168062" cy="1649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0</xdr:rowOff>
    </xdr:from>
    <xdr:to>
      <xdr:col>6</xdr:col>
      <xdr:colOff>1663097</xdr:colOff>
      <xdr:row>9</xdr:row>
      <xdr:rowOff>156803</xdr:rowOff>
    </xdr:to>
    <xdr:pic>
      <xdr:nvPicPr>
        <xdr:cNvPr id="2" name="Picture 4" descr="excell-header.jpg">
          <a:extLst>
            <a:ext uri="{FF2B5EF4-FFF2-40B4-BE49-F238E27FC236}">
              <a16:creationId xmlns:a16="http://schemas.microsoft.com/office/drawing/2014/main" id="{481A7111-9D7B-4B5F-BABD-F532138D6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381000"/>
          <a:ext cx="10287000" cy="14903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65549</xdr:colOff>
      <xdr:row>53</xdr:row>
      <xdr:rowOff>84839</xdr:rowOff>
    </xdr:from>
    <xdr:to>
      <xdr:col>1</xdr:col>
      <xdr:colOff>1786195</xdr:colOff>
      <xdr:row>58</xdr:row>
      <xdr:rowOff>131097</xdr:rowOff>
    </xdr:to>
    <xdr:pic>
      <xdr:nvPicPr>
        <xdr:cNvPr id="3" name="Picture 94" descr="TTD Stempel">
          <a:extLst>
            <a:ext uri="{FF2B5EF4-FFF2-40B4-BE49-F238E27FC236}">
              <a16:creationId xmlns:a16="http://schemas.microsoft.com/office/drawing/2014/main" id="{EA574A04-D6E8-4CA6-9AFF-9CB11B2BC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149" y="21649439"/>
          <a:ext cx="1720646" cy="1046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7</xdr:col>
      <xdr:colOff>508000</xdr:colOff>
      <xdr:row>71</xdr:row>
      <xdr:rowOff>125362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0AC770B6-58BB-4F54-9139-68B27BBBA5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630"/>
        <a:stretch/>
      </xdr:blipFill>
      <xdr:spPr bwMode="auto">
        <a:xfrm>
          <a:off x="0" y="12710583"/>
          <a:ext cx="10805583" cy="1649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9</xdr:col>
      <xdr:colOff>31983</xdr:colOff>
      <xdr:row>10</xdr:row>
      <xdr:rowOff>156803</xdr:rowOff>
    </xdr:to>
    <xdr:pic>
      <xdr:nvPicPr>
        <xdr:cNvPr id="2" name="Picture 4" descr="excell-header.jpg">
          <a:extLst>
            <a:ext uri="{FF2B5EF4-FFF2-40B4-BE49-F238E27FC236}">
              <a16:creationId xmlns:a16="http://schemas.microsoft.com/office/drawing/2014/main" id="{CDE07F0B-D9AD-4508-A35E-9230185B6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5017750" cy="14903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65549</xdr:colOff>
      <xdr:row>126</xdr:row>
      <xdr:rowOff>84839</xdr:rowOff>
    </xdr:from>
    <xdr:to>
      <xdr:col>1</xdr:col>
      <xdr:colOff>1786195</xdr:colOff>
      <xdr:row>131</xdr:row>
      <xdr:rowOff>131097</xdr:rowOff>
    </xdr:to>
    <xdr:pic>
      <xdr:nvPicPr>
        <xdr:cNvPr id="3" name="Picture 94" descr="TTD Stempel">
          <a:extLst>
            <a:ext uri="{FF2B5EF4-FFF2-40B4-BE49-F238E27FC236}">
              <a16:creationId xmlns:a16="http://schemas.microsoft.com/office/drawing/2014/main" id="{B01FC52D-64EC-4C07-A64C-8B4975462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124" y="8390639"/>
          <a:ext cx="1720646" cy="1046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7</xdr:col>
      <xdr:colOff>136071</xdr:colOff>
      <xdr:row>144</xdr:row>
      <xdr:rowOff>125364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674CD00C-83AF-4259-AE01-14D19CEBAD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630"/>
        <a:stretch/>
      </xdr:blipFill>
      <xdr:spPr bwMode="auto">
        <a:xfrm>
          <a:off x="0" y="25958242"/>
          <a:ext cx="13450137" cy="1632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</xdr:row>
      <xdr:rowOff>0</xdr:rowOff>
    </xdr:from>
    <xdr:to>
      <xdr:col>10</xdr:col>
      <xdr:colOff>825501</xdr:colOff>
      <xdr:row>11</xdr:row>
      <xdr:rowOff>156803</xdr:rowOff>
    </xdr:to>
    <xdr:pic>
      <xdr:nvPicPr>
        <xdr:cNvPr id="2" name="Picture 4" descr="excell-header.jpg">
          <a:extLst>
            <a:ext uri="{FF2B5EF4-FFF2-40B4-BE49-F238E27FC236}">
              <a16:creationId xmlns:a16="http://schemas.microsoft.com/office/drawing/2014/main" id="{673D538C-DA6E-4572-A6E6-BB81CB71D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762000"/>
          <a:ext cx="11684000" cy="14903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65549</xdr:colOff>
      <xdr:row>85</xdr:row>
      <xdr:rowOff>84839</xdr:rowOff>
    </xdr:from>
    <xdr:to>
      <xdr:col>1</xdr:col>
      <xdr:colOff>1786195</xdr:colOff>
      <xdr:row>90</xdr:row>
      <xdr:rowOff>131097</xdr:rowOff>
    </xdr:to>
    <xdr:pic>
      <xdr:nvPicPr>
        <xdr:cNvPr id="3" name="Picture 94" descr="TTD Stempel">
          <a:extLst>
            <a:ext uri="{FF2B5EF4-FFF2-40B4-BE49-F238E27FC236}">
              <a16:creationId xmlns:a16="http://schemas.microsoft.com/office/drawing/2014/main" id="{9AD1A8A4-6B32-4D2E-AD21-829A5B0A5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699" y="22116164"/>
          <a:ext cx="1720646" cy="1046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7</xdr:col>
      <xdr:colOff>529167</xdr:colOff>
      <xdr:row>103</xdr:row>
      <xdr:rowOff>125362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65841521-144A-4B00-83C1-82A4A1FD76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630"/>
        <a:stretch/>
      </xdr:blipFill>
      <xdr:spPr bwMode="auto">
        <a:xfrm>
          <a:off x="0" y="19007667"/>
          <a:ext cx="9546167" cy="1649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139700</xdr:colOff>
      <xdr:row>7</xdr:row>
      <xdr:rowOff>156803</xdr:rowOff>
    </xdr:to>
    <xdr:pic>
      <xdr:nvPicPr>
        <xdr:cNvPr id="2" name="Picture 4" descr="excell-header.jpg">
          <a:extLst>
            <a:ext uri="{FF2B5EF4-FFF2-40B4-BE49-F238E27FC236}">
              <a16:creationId xmlns:a16="http://schemas.microsoft.com/office/drawing/2014/main" id="{450D6245-564C-48F6-874F-00E5A08F6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684000" cy="14903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65549</xdr:colOff>
      <xdr:row>149</xdr:row>
      <xdr:rowOff>84839</xdr:rowOff>
    </xdr:from>
    <xdr:to>
      <xdr:col>1</xdr:col>
      <xdr:colOff>1786195</xdr:colOff>
      <xdr:row>154</xdr:row>
      <xdr:rowOff>131097</xdr:rowOff>
    </xdr:to>
    <xdr:pic>
      <xdr:nvPicPr>
        <xdr:cNvPr id="3" name="Picture 94" descr="TTD Stempel">
          <a:extLst>
            <a:ext uri="{FF2B5EF4-FFF2-40B4-BE49-F238E27FC236}">
              <a16:creationId xmlns:a16="http://schemas.microsoft.com/office/drawing/2014/main" id="{CA684AF4-EA9F-4D87-AFE9-AFAA68AE0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699" y="17067914"/>
          <a:ext cx="1720646" cy="1046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7</xdr:col>
      <xdr:colOff>1009650</xdr:colOff>
      <xdr:row>167</xdr:row>
      <xdr:rowOff>125362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43AD6D5A-6D6E-4BE4-8DEA-857D1FE51C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630"/>
        <a:stretch/>
      </xdr:blipFill>
      <xdr:spPr bwMode="auto">
        <a:xfrm>
          <a:off x="0" y="34309050"/>
          <a:ext cx="10239375" cy="1649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428625</xdr:colOff>
      <xdr:row>22</xdr:row>
      <xdr:rowOff>161925</xdr:rowOff>
    </xdr:from>
    <xdr:to>
      <xdr:col>26</xdr:col>
      <xdr:colOff>274994</xdr:colOff>
      <xdr:row>32</xdr:row>
      <xdr:rowOff>95020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DA29D8-1E65-092D-2451-B3EF52B7D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96825" y="4438650"/>
          <a:ext cx="9847619" cy="1838095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142875</xdr:colOff>
      <xdr:row>51</xdr:row>
      <xdr:rowOff>95250</xdr:rowOff>
    </xdr:from>
    <xdr:to>
      <xdr:col>30</xdr:col>
      <xdr:colOff>350921</xdr:colOff>
      <xdr:row>60</xdr:row>
      <xdr:rowOff>28368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CAC0D54-76A2-6FA3-EF72-D809F6A7D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116675" y="10582275"/>
          <a:ext cx="12028571" cy="16571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7</xdr:col>
      <xdr:colOff>552450</xdr:colOff>
      <xdr:row>12</xdr:row>
      <xdr:rowOff>156803</xdr:rowOff>
    </xdr:to>
    <xdr:pic>
      <xdr:nvPicPr>
        <xdr:cNvPr id="2" name="Picture 4" descr="excell-header.jpg">
          <a:extLst>
            <a:ext uri="{FF2B5EF4-FFF2-40B4-BE49-F238E27FC236}">
              <a16:creationId xmlns:a16="http://schemas.microsoft.com/office/drawing/2014/main" id="{63F4AB5E-A81F-42B2-9749-9EBCC637F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0648950" cy="14903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65549</xdr:colOff>
      <xdr:row>112</xdr:row>
      <xdr:rowOff>84839</xdr:rowOff>
    </xdr:from>
    <xdr:to>
      <xdr:col>1</xdr:col>
      <xdr:colOff>1786195</xdr:colOff>
      <xdr:row>117</xdr:row>
      <xdr:rowOff>131097</xdr:rowOff>
    </xdr:to>
    <xdr:pic>
      <xdr:nvPicPr>
        <xdr:cNvPr id="3" name="Picture 94" descr="TTD Stempel">
          <a:extLst>
            <a:ext uri="{FF2B5EF4-FFF2-40B4-BE49-F238E27FC236}">
              <a16:creationId xmlns:a16="http://schemas.microsoft.com/office/drawing/2014/main" id="{91F122BD-16D2-4311-90CA-BFAA7E4DB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699" y="16305914"/>
          <a:ext cx="1720646" cy="1046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7</xdr:col>
      <xdr:colOff>438150</xdr:colOff>
      <xdr:row>130</xdr:row>
      <xdr:rowOff>125362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2CE43D87-D83A-40B0-B404-08C3CDC0DE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630"/>
        <a:stretch/>
      </xdr:blipFill>
      <xdr:spPr bwMode="auto">
        <a:xfrm>
          <a:off x="0" y="23660100"/>
          <a:ext cx="10534650" cy="1649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42</xdr:row>
      <xdr:rowOff>0</xdr:rowOff>
    </xdr:from>
    <xdr:to>
      <xdr:col>30</xdr:col>
      <xdr:colOff>131505</xdr:colOff>
      <xdr:row>52</xdr:row>
      <xdr:rowOff>171190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AA1829-3B0C-BC85-A2D7-47B04797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0700" y="8105775"/>
          <a:ext cx="14761905" cy="20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ED3B-2223-4A8D-A244-2322044630D8}">
  <sheetPr>
    <pageSetUpPr fitToPage="1"/>
  </sheetPr>
  <dimension ref="A1:H80"/>
  <sheetViews>
    <sheetView topLeftCell="A14" workbookViewId="0">
      <selection activeCell="A40" sqref="A40:XFD43"/>
    </sheetView>
  </sheetViews>
  <sheetFormatPr defaultRowHeight="14.4" x14ac:dyDescent="0.3"/>
  <cols>
    <col min="2" max="2" width="68.88671875" customWidth="1"/>
    <col min="3" max="3" width="14.109375" customWidth="1"/>
    <col min="5" max="5" width="21.88671875" customWidth="1"/>
    <col min="6" max="6" width="31.109375" customWidth="1"/>
  </cols>
  <sheetData>
    <row r="1" spans="1:8" s="165" customFormat="1" x14ac:dyDescent="0.3">
      <c r="C1" s="275"/>
    </row>
    <row r="2" spans="1:8" s="165" customFormat="1" x14ac:dyDescent="0.3">
      <c r="C2" s="275"/>
    </row>
    <row r="3" spans="1:8" s="165" customFormat="1" x14ac:dyDescent="0.3">
      <c r="C3" s="275"/>
      <c r="F3" s="603" t="s">
        <v>10</v>
      </c>
      <c r="G3" s="603"/>
    </row>
    <row r="4" spans="1:8" s="165" customFormat="1" x14ac:dyDescent="0.3">
      <c r="C4" s="275"/>
      <c r="F4" s="256"/>
      <c r="G4" s="256"/>
    </row>
    <row r="5" spans="1:8" s="165" customFormat="1" x14ac:dyDescent="0.3">
      <c r="C5" s="275"/>
      <c r="F5" s="256"/>
      <c r="G5" s="256"/>
    </row>
    <row r="6" spans="1:8" s="165" customFormat="1" x14ac:dyDescent="0.3">
      <c r="C6" s="275"/>
      <c r="F6" s="256"/>
      <c r="G6" s="256"/>
    </row>
    <row r="7" spans="1:8" s="165" customFormat="1" x14ac:dyDescent="0.3">
      <c r="C7" s="275"/>
      <c r="F7" s="256"/>
      <c r="G7" s="256"/>
    </row>
    <row r="8" spans="1:8" s="165" customFormat="1" x14ac:dyDescent="0.3">
      <c r="C8" s="275"/>
      <c r="F8" s="256"/>
      <c r="G8" s="256"/>
    </row>
    <row r="9" spans="1:8" s="165" customFormat="1" x14ac:dyDescent="0.3">
      <c r="C9" s="275"/>
      <c r="F9" s="256"/>
      <c r="G9" s="256"/>
    </row>
    <row r="10" spans="1:8" s="165" customFormat="1" x14ac:dyDescent="0.3">
      <c r="C10" s="275"/>
      <c r="F10" s="340"/>
      <c r="G10" s="340"/>
    </row>
    <row r="11" spans="1:8" s="165" customFormat="1" ht="15.6" x14ac:dyDescent="0.3">
      <c r="A11" s="260" t="s">
        <v>189</v>
      </c>
      <c r="B11" s="261" t="s">
        <v>306</v>
      </c>
      <c r="C11" s="343"/>
      <c r="D11" s="343"/>
      <c r="E11" s="276" t="s">
        <v>190</v>
      </c>
      <c r="F11" s="262" t="s">
        <v>191</v>
      </c>
      <c r="G11" s="263"/>
      <c r="H11" s="264"/>
    </row>
    <row r="12" spans="1:8" s="165" customFormat="1" ht="15.6" x14ac:dyDescent="0.3">
      <c r="A12" s="265" t="s">
        <v>192</v>
      </c>
      <c r="B12" s="266" t="s">
        <v>193</v>
      </c>
      <c r="E12" s="277" t="s">
        <v>244</v>
      </c>
      <c r="F12" s="266" t="s">
        <v>257</v>
      </c>
      <c r="G12" s="267"/>
      <c r="H12" s="264"/>
    </row>
    <row r="13" spans="1:8" s="165" customFormat="1" ht="15.6" x14ac:dyDescent="0.3">
      <c r="A13" s="265" t="s">
        <v>194</v>
      </c>
      <c r="B13" s="266" t="s">
        <v>195</v>
      </c>
      <c r="E13" s="277" t="s">
        <v>196</v>
      </c>
      <c r="F13" s="266" t="s">
        <v>246</v>
      </c>
      <c r="G13" s="267"/>
      <c r="H13" s="264"/>
    </row>
    <row r="14" spans="1:8" s="165" customFormat="1" ht="15.6" x14ac:dyDescent="0.3">
      <c r="A14" s="268" t="s">
        <v>197</v>
      </c>
      <c r="B14" s="266" t="s">
        <v>198</v>
      </c>
      <c r="E14" s="277" t="s">
        <v>199</v>
      </c>
      <c r="F14" s="266" t="s">
        <v>220</v>
      </c>
      <c r="G14" s="267"/>
      <c r="H14" s="264"/>
    </row>
    <row r="15" spans="1:8" s="165" customFormat="1" ht="15.6" x14ac:dyDescent="0.3">
      <c r="A15" s="268"/>
      <c r="B15" s="266" t="s">
        <v>200</v>
      </c>
      <c r="C15" s="270"/>
      <c r="D15" s="271"/>
      <c r="E15" s="272"/>
      <c r="F15" s="273"/>
      <c r="G15" s="256"/>
    </row>
    <row r="16" spans="1:8" s="165" customFormat="1" ht="15.6" x14ac:dyDescent="0.3">
      <c r="A16" s="268"/>
      <c r="B16" s="269" t="s">
        <v>201</v>
      </c>
      <c r="C16" s="270"/>
      <c r="D16" s="271"/>
      <c r="E16" s="272"/>
      <c r="F16" s="274"/>
      <c r="G16" s="256"/>
    </row>
    <row r="17" spans="1:7" s="165" customFormat="1" x14ac:dyDescent="0.3">
      <c r="C17" s="275"/>
      <c r="F17" s="256"/>
      <c r="G17" s="256"/>
    </row>
    <row r="18" spans="1:7" ht="15" thickBot="1" x14ac:dyDescent="0.35">
      <c r="E18" s="602" t="s">
        <v>10</v>
      </c>
      <c r="F18" s="602"/>
    </row>
    <row r="19" spans="1:7" ht="16.2" thickBot="1" x14ac:dyDescent="0.35">
      <c r="A19" s="454" t="s">
        <v>0</v>
      </c>
      <c r="B19" s="454" t="s">
        <v>1</v>
      </c>
      <c r="C19" s="454" t="s">
        <v>3</v>
      </c>
      <c r="D19" s="454" t="s">
        <v>4</v>
      </c>
      <c r="E19" s="455" t="s">
        <v>46</v>
      </c>
      <c r="F19" s="456" t="s">
        <v>11</v>
      </c>
    </row>
    <row r="20" spans="1:7" x14ac:dyDescent="0.3">
      <c r="A20" s="457"/>
      <c r="B20" s="92"/>
      <c r="C20" s="79"/>
      <c r="D20" s="79"/>
      <c r="E20" s="515"/>
      <c r="F20" s="219"/>
    </row>
    <row r="21" spans="1:7" x14ac:dyDescent="0.3">
      <c r="A21" s="458" t="s">
        <v>5</v>
      </c>
      <c r="B21" s="108" t="s">
        <v>6</v>
      </c>
      <c r="C21" s="81"/>
      <c r="D21" s="81"/>
      <c r="E21" s="516"/>
      <c r="F21" s="214"/>
    </row>
    <row r="22" spans="1:7" x14ac:dyDescent="0.3">
      <c r="A22" s="92"/>
      <c r="B22" s="60" t="s">
        <v>237</v>
      </c>
      <c r="C22" s="81"/>
      <c r="D22" s="81"/>
      <c r="E22" s="516"/>
      <c r="F22" s="214"/>
    </row>
    <row r="23" spans="1:7" x14ac:dyDescent="0.3">
      <c r="A23" s="92"/>
      <c r="B23" s="61"/>
      <c r="C23" s="81"/>
      <c r="D23" s="81"/>
      <c r="E23" s="516"/>
      <c r="F23" s="214"/>
    </row>
    <row r="24" spans="1:7" x14ac:dyDescent="0.3">
      <c r="A24" s="92">
        <v>1</v>
      </c>
      <c r="B24" s="26" t="s">
        <v>269</v>
      </c>
      <c r="C24" s="81">
        <v>1</v>
      </c>
      <c r="D24" s="81">
        <v>1</v>
      </c>
      <c r="E24" s="517">
        <v>0</v>
      </c>
      <c r="F24" s="235">
        <v>0</v>
      </c>
    </row>
    <row r="25" spans="1:7" x14ac:dyDescent="0.3">
      <c r="A25" s="92"/>
      <c r="B25" s="459" t="s">
        <v>267</v>
      </c>
      <c r="C25" s="81"/>
      <c r="D25" s="81"/>
      <c r="E25" s="516"/>
      <c r="F25" s="214"/>
    </row>
    <row r="26" spans="1:7" x14ac:dyDescent="0.3">
      <c r="A26" s="92"/>
      <c r="B26" s="459" t="s">
        <v>268</v>
      </c>
      <c r="C26" s="81"/>
      <c r="D26" s="81"/>
      <c r="E26" s="516"/>
      <c r="F26" s="214"/>
    </row>
    <row r="27" spans="1:7" x14ac:dyDescent="0.3">
      <c r="A27" s="92"/>
      <c r="B27" s="459"/>
      <c r="C27" s="81"/>
      <c r="D27" s="81"/>
      <c r="E27" s="516"/>
      <c r="F27" s="214"/>
    </row>
    <row r="28" spans="1:7" x14ac:dyDescent="0.3">
      <c r="A28" s="138"/>
      <c r="B28" s="462"/>
      <c r="C28" s="460"/>
      <c r="D28" s="461"/>
      <c r="E28" s="296"/>
      <c r="F28" s="311"/>
    </row>
    <row r="29" spans="1:7" x14ac:dyDescent="0.3">
      <c r="A29" s="138">
        <v>2</v>
      </c>
      <c r="B29" s="463" t="s">
        <v>238</v>
      </c>
      <c r="C29" s="460"/>
      <c r="D29" s="461"/>
      <c r="E29" s="296"/>
      <c r="F29" s="311"/>
    </row>
    <row r="30" spans="1:7" x14ac:dyDescent="0.3">
      <c r="A30" s="138"/>
      <c r="B30" s="464" t="s">
        <v>266</v>
      </c>
      <c r="C30" s="57">
        <v>1</v>
      </c>
      <c r="D30" s="465">
        <v>1</v>
      </c>
      <c r="E30" s="294">
        <v>30000000</v>
      </c>
      <c r="F30" s="309">
        <f>C30*D30*E30</f>
        <v>30000000</v>
      </c>
    </row>
    <row r="31" spans="1:7" x14ac:dyDescent="0.3">
      <c r="A31" s="138"/>
      <c r="B31" s="464" t="s">
        <v>261</v>
      </c>
      <c r="C31" s="57"/>
      <c r="D31" s="465"/>
      <c r="E31" s="294"/>
      <c r="F31" s="309"/>
    </row>
    <row r="32" spans="1:7" x14ac:dyDescent="0.3">
      <c r="A32" s="138"/>
      <c r="B32" s="464" t="s">
        <v>260</v>
      </c>
      <c r="C32" s="57"/>
      <c r="D32" s="465"/>
      <c r="E32" s="294"/>
      <c r="F32" s="309"/>
    </row>
    <row r="33" spans="1:6" x14ac:dyDescent="0.3">
      <c r="A33" s="138"/>
      <c r="B33" s="464" t="s">
        <v>258</v>
      </c>
      <c r="C33" s="57"/>
      <c r="D33" s="465"/>
      <c r="E33" s="294"/>
      <c r="F33" s="309"/>
    </row>
    <row r="34" spans="1:6" ht="16.5" customHeight="1" x14ac:dyDescent="0.3">
      <c r="A34" s="138"/>
      <c r="B34" s="464" t="s">
        <v>259</v>
      </c>
      <c r="C34" s="57"/>
      <c r="D34" s="465"/>
      <c r="E34" s="294"/>
      <c r="F34" s="309"/>
    </row>
    <row r="35" spans="1:6" x14ac:dyDescent="0.3">
      <c r="A35" s="138"/>
      <c r="B35" s="466" t="s">
        <v>239</v>
      </c>
      <c r="C35" s="57">
        <v>1</v>
      </c>
      <c r="D35" s="465">
        <v>1</v>
      </c>
      <c r="E35" s="294">
        <v>1000000</v>
      </c>
      <c r="F35" s="309">
        <f>C35*D35*E35</f>
        <v>1000000</v>
      </c>
    </row>
    <row r="36" spans="1:6" x14ac:dyDescent="0.3">
      <c r="A36" s="92"/>
      <c r="B36" s="61" t="s">
        <v>368</v>
      </c>
      <c r="C36" s="81"/>
      <c r="D36" s="81"/>
      <c r="E36" s="516"/>
      <c r="F36" s="214"/>
    </row>
    <row r="37" spans="1:6" ht="15" thickBot="1" x14ac:dyDescent="0.35">
      <c r="A37" s="93"/>
      <c r="B37" s="78"/>
      <c r="C37" s="85"/>
      <c r="D37" s="85"/>
      <c r="E37" s="518"/>
      <c r="F37" s="204"/>
    </row>
    <row r="38" spans="1:6" ht="15" thickBot="1" x14ac:dyDescent="0.35">
      <c r="A38" s="467"/>
      <c r="B38" s="54"/>
      <c r="C38" s="54"/>
      <c r="D38" s="54"/>
      <c r="E38" s="13"/>
      <c r="F38" s="14">
        <f>SUM(F20:F37)</f>
        <v>31000000</v>
      </c>
    </row>
    <row r="39" spans="1:6" x14ac:dyDescent="0.3">
      <c r="A39" s="468"/>
      <c r="B39" s="469" t="s">
        <v>11</v>
      </c>
      <c r="C39" s="470"/>
      <c r="D39" s="470"/>
      <c r="E39" s="471"/>
      <c r="F39" s="472">
        <f>+F38</f>
        <v>31000000</v>
      </c>
    </row>
    <row r="40" spans="1:6" x14ac:dyDescent="0.3">
      <c r="A40" s="138"/>
      <c r="B40" s="21"/>
      <c r="C40" s="22"/>
      <c r="D40" s="22"/>
      <c r="E40" s="23"/>
      <c r="F40" s="24"/>
    </row>
    <row r="41" spans="1:6" x14ac:dyDescent="0.3">
      <c r="A41" s="138"/>
      <c r="B41" s="481"/>
      <c r="C41" s="163"/>
      <c r="D41" s="163"/>
      <c r="E41" s="349"/>
      <c r="F41" s="164"/>
    </row>
    <row r="42" spans="1:6" x14ac:dyDescent="0.3">
      <c r="A42" s="138"/>
      <c r="B42" s="481"/>
      <c r="C42" s="163"/>
      <c r="D42" s="163"/>
      <c r="E42" s="349"/>
      <c r="F42" s="164"/>
    </row>
    <row r="43" spans="1:6" ht="15" thickBot="1" x14ac:dyDescent="0.35">
      <c r="A43" s="140"/>
      <c r="B43" s="473"/>
      <c r="C43" s="385"/>
      <c r="D43" s="385"/>
      <c r="E43" s="386"/>
      <c r="F43" s="387"/>
    </row>
    <row r="47" spans="1:6" x14ac:dyDescent="0.3">
      <c r="C47" s="249"/>
    </row>
    <row r="48" spans="1:6" ht="15.6" x14ac:dyDescent="0.3">
      <c r="A48" s="320" t="s">
        <v>202</v>
      </c>
      <c r="B48" s="320"/>
      <c r="C48" s="249"/>
    </row>
    <row r="49" spans="1:7" ht="15.6" x14ac:dyDescent="0.3">
      <c r="A49" s="270">
        <v>1</v>
      </c>
      <c r="B49" s="321" t="s">
        <v>203</v>
      </c>
      <c r="C49" s="249"/>
    </row>
    <row r="50" spans="1:7" ht="15.6" x14ac:dyDescent="0.3">
      <c r="A50" s="270">
        <v>2</v>
      </c>
      <c r="B50" s="321" t="s">
        <v>204</v>
      </c>
      <c r="C50" s="249"/>
    </row>
    <row r="51" spans="1:7" ht="15.6" x14ac:dyDescent="0.3">
      <c r="A51" s="270">
        <v>3</v>
      </c>
      <c r="B51" s="321" t="s">
        <v>205</v>
      </c>
      <c r="C51" s="249"/>
    </row>
    <row r="52" spans="1:7" ht="15.6" x14ac:dyDescent="0.3">
      <c r="A52" s="270">
        <v>4</v>
      </c>
      <c r="B52" s="322" t="s">
        <v>206</v>
      </c>
      <c r="C52" s="249"/>
    </row>
    <row r="53" spans="1:7" ht="15.6" x14ac:dyDescent="0.3">
      <c r="A53" s="270"/>
      <c r="B53" s="323" t="s">
        <v>207</v>
      </c>
      <c r="C53" s="249"/>
    </row>
    <row r="54" spans="1:7" ht="15.6" x14ac:dyDescent="0.3">
      <c r="A54" s="270"/>
      <c r="B54" s="322" t="s">
        <v>208</v>
      </c>
      <c r="C54" s="249"/>
    </row>
    <row r="55" spans="1:7" ht="15.6" x14ac:dyDescent="0.3">
      <c r="A55" s="270"/>
      <c r="B55" s="321" t="s">
        <v>209</v>
      </c>
      <c r="C55" s="249"/>
    </row>
    <row r="56" spans="1:7" ht="15.6" x14ac:dyDescent="0.3">
      <c r="A56" s="270"/>
      <c r="B56" s="321" t="s">
        <v>210</v>
      </c>
      <c r="C56" s="249"/>
    </row>
    <row r="57" spans="1:7" ht="15.6" x14ac:dyDescent="0.3">
      <c r="A57" s="270"/>
      <c r="B57" s="321" t="s">
        <v>211</v>
      </c>
      <c r="C57" s="249"/>
    </row>
    <row r="58" spans="1:7" ht="15.6" x14ac:dyDescent="0.3">
      <c r="A58" s="270"/>
      <c r="B58" s="322" t="s">
        <v>212</v>
      </c>
      <c r="C58" s="249"/>
    </row>
    <row r="59" spans="1:7" x14ac:dyDescent="0.3">
      <c r="C59" s="249"/>
    </row>
    <row r="60" spans="1:7" x14ac:dyDescent="0.3">
      <c r="C60" s="249"/>
    </row>
    <row r="61" spans="1:7" ht="15.6" x14ac:dyDescent="0.3">
      <c r="B61" s="322" t="s">
        <v>213</v>
      </c>
      <c r="C61" s="330"/>
      <c r="D61" s="330"/>
      <c r="E61" s="330"/>
      <c r="F61" s="331" t="s">
        <v>214</v>
      </c>
      <c r="G61" s="332"/>
    </row>
    <row r="62" spans="1:7" ht="15.6" x14ac:dyDescent="0.3">
      <c r="B62" s="323"/>
      <c r="C62" s="330"/>
      <c r="D62" s="330"/>
      <c r="E62" s="330"/>
      <c r="F62" s="333"/>
      <c r="G62" s="332"/>
    </row>
    <row r="63" spans="1:7" ht="15.6" x14ac:dyDescent="0.3">
      <c r="B63" s="334"/>
      <c r="C63" s="335"/>
      <c r="D63" s="330"/>
      <c r="E63" s="330"/>
      <c r="F63" s="333"/>
      <c r="G63" s="332"/>
    </row>
    <row r="64" spans="1:7" ht="15.6" x14ac:dyDescent="0.3">
      <c r="B64" s="334"/>
      <c r="C64" s="335"/>
      <c r="D64" s="330"/>
      <c r="E64" s="330"/>
      <c r="F64" s="333"/>
      <c r="G64" s="332"/>
    </row>
    <row r="65" spans="2:7" ht="15.6" x14ac:dyDescent="0.3">
      <c r="B65" s="334"/>
      <c r="C65" s="335"/>
      <c r="D65" s="330"/>
      <c r="E65" s="330"/>
      <c r="F65" s="333"/>
      <c r="G65" s="332"/>
    </row>
    <row r="66" spans="2:7" ht="15.6" x14ac:dyDescent="0.3">
      <c r="B66" s="272"/>
      <c r="C66" s="335"/>
      <c r="D66" s="330"/>
      <c r="E66" s="330"/>
      <c r="F66" s="333"/>
      <c r="G66" s="332"/>
    </row>
    <row r="67" spans="2:7" ht="15.6" x14ac:dyDescent="0.3">
      <c r="B67" s="334"/>
      <c r="C67" s="335"/>
      <c r="D67" s="335"/>
      <c r="E67" s="335"/>
      <c r="F67" s="333"/>
      <c r="G67" s="332"/>
    </row>
    <row r="68" spans="2:7" ht="15.6" x14ac:dyDescent="0.3">
      <c r="B68" s="336" t="s">
        <v>215</v>
      </c>
      <c r="C68" s="335"/>
      <c r="D68" s="335"/>
      <c r="E68" s="335"/>
      <c r="F68" s="337" t="s">
        <v>216</v>
      </c>
      <c r="G68" s="338"/>
    </row>
    <row r="69" spans="2:7" ht="15.6" x14ac:dyDescent="0.3">
      <c r="B69" s="339" t="s">
        <v>217</v>
      </c>
      <c r="C69" s="335"/>
      <c r="D69" s="335"/>
      <c r="E69" s="335"/>
      <c r="F69" s="337" t="s">
        <v>218</v>
      </c>
      <c r="G69" s="338"/>
    </row>
    <row r="70" spans="2:7" x14ac:dyDescent="0.3">
      <c r="C70" s="249"/>
    </row>
    <row r="71" spans="2:7" x14ac:dyDescent="0.3">
      <c r="C71" s="249"/>
    </row>
    <row r="72" spans="2:7" x14ac:dyDescent="0.3">
      <c r="C72" s="249"/>
    </row>
    <row r="73" spans="2:7" x14ac:dyDescent="0.3">
      <c r="C73" s="249"/>
    </row>
    <row r="74" spans="2:7" x14ac:dyDescent="0.3">
      <c r="C74" s="249"/>
    </row>
    <row r="75" spans="2:7" x14ac:dyDescent="0.3">
      <c r="C75" s="249"/>
    </row>
    <row r="76" spans="2:7" x14ac:dyDescent="0.3">
      <c r="C76" s="249"/>
    </row>
    <row r="77" spans="2:7" x14ac:dyDescent="0.3">
      <c r="C77" s="249"/>
    </row>
    <row r="78" spans="2:7" x14ac:dyDescent="0.3">
      <c r="C78" s="249"/>
    </row>
    <row r="79" spans="2:7" x14ac:dyDescent="0.3">
      <c r="C79" s="249"/>
    </row>
    <row r="80" spans="2:7" x14ac:dyDescent="0.3">
      <c r="C80" s="249"/>
    </row>
  </sheetData>
  <mergeCells count="2">
    <mergeCell ref="E18:F18"/>
    <mergeCell ref="F3:G3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AAC3-3D68-4D9E-903B-EE9A0888D37C}">
  <sheetPr>
    <pageSetUpPr fitToPage="1"/>
  </sheetPr>
  <dimension ref="A1:L109"/>
  <sheetViews>
    <sheetView showGridLines="0" topLeftCell="A33" zoomScale="80" zoomScaleNormal="80" workbookViewId="0">
      <selection activeCell="F37" sqref="F37:F75"/>
    </sheetView>
  </sheetViews>
  <sheetFormatPr defaultRowHeight="14.4" x14ac:dyDescent="0.3"/>
  <cols>
    <col min="2" max="2" width="85.6640625" customWidth="1"/>
    <col min="3" max="3" width="13.109375" style="249" customWidth="1"/>
    <col min="4" max="5" width="10.88671875" customWidth="1"/>
    <col min="6" max="6" width="17" customWidth="1"/>
    <col min="7" max="7" width="16.44140625" customWidth="1"/>
    <col min="9" max="9" width="12.33203125" style="166" bestFit="1" customWidth="1"/>
  </cols>
  <sheetData>
    <row r="1" spans="1:9" s="165" customFormat="1" x14ac:dyDescent="0.3">
      <c r="C1" s="275"/>
      <c r="I1" s="236"/>
    </row>
    <row r="2" spans="1:9" s="165" customFormat="1" x14ac:dyDescent="0.3">
      <c r="C2" s="275"/>
      <c r="I2" s="236"/>
    </row>
    <row r="3" spans="1:9" s="165" customFormat="1" x14ac:dyDescent="0.3">
      <c r="C3" s="275"/>
      <c r="F3" s="603" t="s">
        <v>10</v>
      </c>
      <c r="G3" s="603"/>
      <c r="I3" s="236"/>
    </row>
    <row r="4" spans="1:9" s="165" customFormat="1" x14ac:dyDescent="0.3">
      <c r="C4" s="275"/>
      <c r="F4" s="256"/>
      <c r="G4" s="256"/>
      <c r="I4" s="236"/>
    </row>
    <row r="5" spans="1:9" s="165" customFormat="1" x14ac:dyDescent="0.3">
      <c r="C5" s="275"/>
      <c r="F5" s="256"/>
      <c r="G5" s="256"/>
      <c r="I5" s="236"/>
    </row>
    <row r="6" spans="1:9" s="165" customFormat="1" x14ac:dyDescent="0.3">
      <c r="C6" s="275"/>
      <c r="F6" s="256"/>
      <c r="G6" s="256"/>
      <c r="I6" s="236"/>
    </row>
    <row r="7" spans="1:9" s="165" customFormat="1" x14ac:dyDescent="0.3">
      <c r="C7" s="275"/>
      <c r="F7" s="256"/>
      <c r="G7" s="256"/>
      <c r="I7" s="236"/>
    </row>
    <row r="8" spans="1:9" s="165" customFormat="1" x14ac:dyDescent="0.3">
      <c r="C8" s="275"/>
      <c r="F8" s="256"/>
      <c r="G8" s="256"/>
      <c r="I8" s="236"/>
    </row>
    <row r="9" spans="1:9" s="165" customFormat="1" x14ac:dyDescent="0.3">
      <c r="C9" s="275"/>
      <c r="F9" s="256"/>
      <c r="G9" s="256"/>
      <c r="I9" s="236"/>
    </row>
    <row r="10" spans="1:9" s="165" customFormat="1" x14ac:dyDescent="0.3">
      <c r="C10" s="275"/>
      <c r="F10" s="340"/>
      <c r="G10" s="340"/>
      <c r="I10" s="236"/>
    </row>
    <row r="11" spans="1:9" s="165" customFormat="1" ht="15.6" x14ac:dyDescent="0.3">
      <c r="A11" s="260" t="s">
        <v>189</v>
      </c>
      <c r="B11" s="261" t="s">
        <v>306</v>
      </c>
      <c r="C11" s="343"/>
      <c r="D11" s="343"/>
      <c r="E11" s="276" t="s">
        <v>190</v>
      </c>
      <c r="F11" s="262" t="s">
        <v>191</v>
      </c>
      <c r="G11" s="263"/>
      <c r="H11" s="264"/>
      <c r="I11" s="236"/>
    </row>
    <row r="12" spans="1:9" s="165" customFormat="1" ht="15.6" x14ac:dyDescent="0.3">
      <c r="A12" s="265" t="s">
        <v>192</v>
      </c>
      <c r="B12" s="266" t="s">
        <v>193</v>
      </c>
      <c r="E12" s="277" t="s">
        <v>244</v>
      </c>
      <c r="F12" s="266" t="s">
        <v>257</v>
      </c>
      <c r="G12" s="267"/>
      <c r="H12" s="264"/>
      <c r="I12" s="236"/>
    </row>
    <row r="13" spans="1:9" s="165" customFormat="1" ht="15.6" x14ac:dyDescent="0.3">
      <c r="A13" s="265" t="s">
        <v>194</v>
      </c>
      <c r="B13" s="266" t="s">
        <v>195</v>
      </c>
      <c r="E13" s="277" t="s">
        <v>196</v>
      </c>
      <c r="F13" s="266" t="s">
        <v>246</v>
      </c>
      <c r="G13" s="267"/>
      <c r="H13" s="264"/>
      <c r="I13" s="236"/>
    </row>
    <row r="14" spans="1:9" s="165" customFormat="1" ht="15.6" x14ac:dyDescent="0.3">
      <c r="A14" s="268" t="s">
        <v>197</v>
      </c>
      <c r="B14" s="266" t="s">
        <v>198</v>
      </c>
      <c r="E14" s="277" t="s">
        <v>199</v>
      </c>
      <c r="F14" s="266" t="s">
        <v>221</v>
      </c>
      <c r="G14" s="267"/>
      <c r="H14" s="264"/>
      <c r="I14" s="236"/>
    </row>
    <row r="15" spans="1:9" s="165" customFormat="1" ht="15.6" x14ac:dyDescent="0.3">
      <c r="A15" s="268"/>
      <c r="B15" s="266" t="s">
        <v>200</v>
      </c>
      <c r="C15" s="270"/>
      <c r="D15" s="271"/>
      <c r="E15" s="272"/>
      <c r="F15" s="273"/>
      <c r="G15" s="256"/>
      <c r="I15" s="236"/>
    </row>
    <row r="16" spans="1:9" s="165" customFormat="1" ht="15.6" x14ac:dyDescent="0.3">
      <c r="A16" s="268"/>
      <c r="B16" s="269" t="s">
        <v>201</v>
      </c>
      <c r="C16" s="270"/>
      <c r="D16" s="271"/>
      <c r="E16" s="272"/>
      <c r="F16" s="274"/>
      <c r="G16" s="256"/>
      <c r="I16" s="236"/>
    </row>
    <row r="17" spans="1:9" s="165" customFormat="1" x14ac:dyDescent="0.3">
      <c r="C17" s="275"/>
      <c r="F17" s="256"/>
      <c r="G17" s="256"/>
      <c r="I17" s="236"/>
    </row>
    <row r="18" spans="1:9" s="165" customFormat="1" x14ac:dyDescent="0.3">
      <c r="C18" s="275"/>
      <c r="F18" s="256"/>
      <c r="G18" s="256"/>
      <c r="I18" s="236"/>
    </row>
    <row r="19" spans="1:9" s="165" customFormat="1" x14ac:dyDescent="0.3">
      <c r="C19" s="275"/>
      <c r="F19" s="256"/>
      <c r="G19" s="256"/>
      <c r="I19" s="236"/>
    </row>
    <row r="20" spans="1:9" s="165" customFormat="1" ht="15" thickBot="1" x14ac:dyDescent="0.35">
      <c r="C20" s="275"/>
      <c r="F20" s="256"/>
      <c r="G20" s="256"/>
      <c r="I20" s="236"/>
    </row>
    <row r="21" spans="1:9" ht="16.2" thickBot="1" x14ac:dyDescent="0.35">
      <c r="A21" s="257" t="s">
        <v>0</v>
      </c>
      <c r="B21" s="258" t="s">
        <v>1</v>
      </c>
      <c r="C21" s="258" t="s">
        <v>2</v>
      </c>
      <c r="D21" s="259" t="s">
        <v>3</v>
      </c>
      <c r="E21" s="259" t="s">
        <v>4</v>
      </c>
      <c r="F21" s="341" t="s">
        <v>13</v>
      </c>
      <c r="G21" s="342" t="s">
        <v>11</v>
      </c>
      <c r="I21" s="166" t="s">
        <v>308</v>
      </c>
    </row>
    <row r="22" spans="1:9" x14ac:dyDescent="0.3">
      <c r="A22" s="20"/>
      <c r="B22" s="92"/>
      <c r="C22" s="79"/>
      <c r="D22" s="79"/>
      <c r="E22" s="79"/>
      <c r="F22" s="293"/>
      <c r="G22" s="308"/>
    </row>
    <row r="23" spans="1:9" s="165" customFormat="1" x14ac:dyDescent="0.3">
      <c r="A23" s="20" t="s">
        <v>5</v>
      </c>
      <c r="B23" s="58" t="s">
        <v>184</v>
      </c>
      <c r="C23" s="79"/>
      <c r="D23" s="79"/>
      <c r="E23" s="79"/>
      <c r="F23" s="293"/>
      <c r="G23" s="308"/>
      <c r="I23" s="236"/>
    </row>
    <row r="24" spans="1:9" s="165" customFormat="1" x14ac:dyDescent="0.3">
      <c r="A24" s="20">
        <v>1</v>
      </c>
      <c r="B24" s="58" t="s">
        <v>14</v>
      </c>
      <c r="C24" s="79" t="s">
        <v>10</v>
      </c>
      <c r="D24" s="80">
        <v>1</v>
      </c>
      <c r="E24" s="80">
        <v>1</v>
      </c>
      <c r="F24" s="294">
        <v>45000000</v>
      </c>
      <c r="G24" s="309">
        <f>D24*E24*F24</f>
        <v>45000000</v>
      </c>
      <c r="I24" s="236"/>
    </row>
    <row r="25" spans="1:9" s="165" customFormat="1" x14ac:dyDescent="0.3">
      <c r="A25" s="20"/>
      <c r="B25" s="59" t="s">
        <v>15</v>
      </c>
      <c r="C25" s="278"/>
      <c r="D25" s="80"/>
      <c r="E25" s="80"/>
      <c r="F25" s="294"/>
      <c r="G25" s="309"/>
      <c r="I25" s="236"/>
    </row>
    <row r="26" spans="1:9" s="165" customFormat="1" x14ac:dyDescent="0.3">
      <c r="A26" s="20"/>
      <c r="B26" s="59" t="s">
        <v>16</v>
      </c>
      <c r="C26" s="278"/>
      <c r="D26" s="80"/>
      <c r="E26" s="80"/>
      <c r="F26" s="295"/>
      <c r="G26" s="310"/>
      <c r="I26" s="236"/>
    </row>
    <row r="27" spans="1:9" s="165" customFormat="1" x14ac:dyDescent="0.3">
      <c r="A27" s="20"/>
      <c r="B27" s="59" t="s">
        <v>17</v>
      </c>
      <c r="C27" s="278"/>
      <c r="D27" s="80"/>
      <c r="E27" s="80"/>
      <c r="F27" s="294"/>
      <c r="G27" s="309"/>
      <c r="I27" s="236"/>
    </row>
    <row r="28" spans="1:9" s="165" customFormat="1" x14ac:dyDescent="0.3">
      <c r="A28" s="20"/>
      <c r="B28" s="59"/>
      <c r="C28" s="278"/>
      <c r="D28" s="80"/>
      <c r="E28" s="80"/>
      <c r="F28" s="294"/>
      <c r="G28" s="309"/>
      <c r="I28" s="544" t="s">
        <v>343</v>
      </c>
    </row>
    <row r="29" spans="1:9" s="165" customFormat="1" x14ac:dyDescent="0.3">
      <c r="A29" s="20"/>
      <c r="B29" s="59"/>
      <c r="C29" s="278"/>
      <c r="D29" s="80"/>
      <c r="E29" s="80"/>
      <c r="F29" s="294"/>
      <c r="G29" s="309"/>
      <c r="I29" s="236"/>
    </row>
    <row r="30" spans="1:9" s="165" customFormat="1" x14ac:dyDescent="0.3">
      <c r="A30" s="20">
        <v>2</v>
      </c>
      <c r="B30" s="58" t="s">
        <v>18</v>
      </c>
      <c r="C30" s="79" t="s">
        <v>10</v>
      </c>
      <c r="D30" s="80">
        <v>1</v>
      </c>
      <c r="E30" s="80">
        <v>1</v>
      </c>
      <c r="F30" s="294"/>
      <c r="G30" s="309"/>
      <c r="I30" s="236"/>
    </row>
    <row r="31" spans="1:9" s="165" customFormat="1" x14ac:dyDescent="0.3">
      <c r="A31" s="20"/>
      <c r="B31" s="59" t="s">
        <v>19</v>
      </c>
      <c r="C31" s="278"/>
      <c r="D31" s="80"/>
      <c r="E31" s="80"/>
      <c r="F31" s="294"/>
      <c r="G31" s="309"/>
      <c r="I31" s="236"/>
    </row>
    <row r="32" spans="1:9" s="165" customFormat="1" x14ac:dyDescent="0.3">
      <c r="A32" s="20"/>
      <c r="B32" s="59" t="s">
        <v>20</v>
      </c>
      <c r="C32" s="278"/>
      <c r="D32" s="80"/>
      <c r="E32" s="80"/>
      <c r="F32" s="295"/>
      <c r="G32" s="310"/>
      <c r="I32" s="236"/>
    </row>
    <row r="33" spans="1:9" s="165" customFormat="1" x14ac:dyDescent="0.3">
      <c r="A33" s="20"/>
      <c r="B33" s="59"/>
      <c r="C33" s="278"/>
      <c r="D33" s="80"/>
      <c r="E33" s="80"/>
      <c r="F33" s="294"/>
      <c r="G33" s="309"/>
      <c r="I33" s="236"/>
    </row>
    <row r="34" spans="1:9" s="165" customFormat="1" x14ac:dyDescent="0.3">
      <c r="A34" s="20" t="s">
        <v>21</v>
      </c>
      <c r="B34" s="61" t="s">
        <v>22</v>
      </c>
      <c r="C34" s="288"/>
      <c r="D34" s="81"/>
      <c r="E34" s="86"/>
      <c r="F34" s="296"/>
      <c r="G34" s="311"/>
      <c r="I34" s="236"/>
    </row>
    <row r="35" spans="1:9" s="165" customFormat="1" x14ac:dyDescent="0.3">
      <c r="A35" s="20"/>
      <c r="B35" s="60" t="s">
        <v>23</v>
      </c>
      <c r="C35" s="284"/>
      <c r="D35" s="81"/>
      <c r="E35" s="86"/>
      <c r="F35" s="296"/>
      <c r="G35" s="311"/>
      <c r="I35" s="236"/>
    </row>
    <row r="36" spans="1:9" s="165" customFormat="1" x14ac:dyDescent="0.3">
      <c r="A36" s="20"/>
      <c r="B36" s="61"/>
      <c r="C36" s="288"/>
      <c r="D36" s="81"/>
      <c r="E36" s="86"/>
      <c r="F36" s="296"/>
      <c r="G36" s="311"/>
      <c r="I36" s="236"/>
    </row>
    <row r="37" spans="1:9" s="165" customFormat="1" x14ac:dyDescent="0.3">
      <c r="A37" s="47">
        <v>1</v>
      </c>
      <c r="B37" s="62" t="s">
        <v>24</v>
      </c>
      <c r="C37" s="279"/>
      <c r="D37" s="82"/>
      <c r="E37" s="87"/>
      <c r="F37" s="297"/>
      <c r="G37" s="312"/>
      <c r="I37" s="236"/>
    </row>
    <row r="38" spans="1:9" s="165" customFormat="1" x14ac:dyDescent="0.3">
      <c r="A38" s="47"/>
      <c r="B38" s="107" t="s">
        <v>25</v>
      </c>
      <c r="C38" s="79" t="s">
        <v>10</v>
      </c>
      <c r="D38" s="80">
        <v>1</v>
      </c>
      <c r="E38" s="80">
        <v>1</v>
      </c>
      <c r="F38" s="298"/>
      <c r="G38" s="309">
        <f>D38*E38*F38</f>
        <v>0</v>
      </c>
      <c r="I38" s="236"/>
    </row>
    <row r="39" spans="1:9" s="165" customFormat="1" x14ac:dyDescent="0.3">
      <c r="A39" s="47"/>
      <c r="B39" s="64"/>
      <c r="C39" s="279"/>
      <c r="D39" s="82"/>
      <c r="E39" s="82"/>
      <c r="F39" s="297"/>
      <c r="G39" s="312"/>
      <c r="I39" s="236"/>
    </row>
    <row r="40" spans="1:9" s="165" customFormat="1" x14ac:dyDescent="0.3">
      <c r="A40" s="47">
        <v>2</v>
      </c>
      <c r="B40" s="62" t="s">
        <v>183</v>
      </c>
      <c r="C40" s="79" t="s">
        <v>10</v>
      </c>
      <c r="D40" s="80">
        <v>1</v>
      </c>
      <c r="E40" s="88">
        <v>1</v>
      </c>
      <c r="F40" s="299"/>
      <c r="G40" s="309">
        <f>D40*E40*F40</f>
        <v>0</v>
      </c>
      <c r="I40" s="236"/>
    </row>
    <row r="41" spans="1:9" s="165" customFormat="1" x14ac:dyDescent="0.3">
      <c r="A41" s="47"/>
      <c r="B41" s="65" t="s">
        <v>26</v>
      </c>
      <c r="C41" s="79" t="s">
        <v>10</v>
      </c>
      <c r="D41" s="80">
        <v>1</v>
      </c>
      <c r="E41" s="88">
        <v>1</v>
      </c>
      <c r="F41" s="299"/>
      <c r="G41" s="312"/>
      <c r="I41" s="236"/>
    </row>
    <row r="42" spans="1:9" s="165" customFormat="1" x14ac:dyDescent="0.3">
      <c r="A42" s="44"/>
      <c r="B42" s="106" t="s">
        <v>300</v>
      </c>
      <c r="C42" s="79" t="s">
        <v>10</v>
      </c>
      <c r="D42" s="83">
        <v>1</v>
      </c>
      <c r="E42" s="89">
        <v>2</v>
      </c>
      <c r="F42" s="299"/>
      <c r="G42" s="313"/>
      <c r="I42" s="236"/>
    </row>
    <row r="43" spans="1:9" s="165" customFormat="1" x14ac:dyDescent="0.3">
      <c r="A43" s="44"/>
      <c r="B43" s="106" t="s">
        <v>301</v>
      </c>
      <c r="C43" s="79" t="s">
        <v>10</v>
      </c>
      <c r="D43" s="83">
        <v>1</v>
      </c>
      <c r="E43" s="89">
        <v>1</v>
      </c>
      <c r="F43" s="299"/>
      <c r="G43" s="313"/>
      <c r="I43" s="236"/>
    </row>
    <row r="44" spans="1:9" s="165" customFormat="1" x14ac:dyDescent="0.3">
      <c r="A44" s="47"/>
      <c r="B44" s="65" t="s">
        <v>27</v>
      </c>
      <c r="C44" s="79" t="s">
        <v>10</v>
      </c>
      <c r="D44" s="80">
        <v>2</v>
      </c>
      <c r="E44" s="88">
        <v>1</v>
      </c>
      <c r="F44" s="299"/>
      <c r="G44" s="309"/>
      <c r="I44" s="236"/>
    </row>
    <row r="45" spans="1:9" s="165" customFormat="1" x14ac:dyDescent="0.3">
      <c r="A45" s="47"/>
      <c r="B45" s="66"/>
      <c r="C45" s="88"/>
      <c r="D45" s="80"/>
      <c r="E45" s="88"/>
      <c r="F45" s="299"/>
      <c r="G45" s="309"/>
      <c r="I45" s="236"/>
    </row>
    <row r="46" spans="1:9" s="165" customFormat="1" x14ac:dyDescent="0.3">
      <c r="A46" s="47">
        <v>3</v>
      </c>
      <c r="B46" s="67" t="s">
        <v>185</v>
      </c>
      <c r="C46" s="88"/>
      <c r="D46" s="80"/>
      <c r="E46" s="88"/>
      <c r="F46" s="299"/>
      <c r="G46" s="309"/>
      <c r="I46" s="236"/>
    </row>
    <row r="47" spans="1:9" s="165" customFormat="1" x14ac:dyDescent="0.3">
      <c r="A47" s="47"/>
      <c r="B47" s="65" t="s">
        <v>28</v>
      </c>
      <c r="C47" s="79" t="s">
        <v>10</v>
      </c>
      <c r="D47" s="80">
        <v>1</v>
      </c>
      <c r="E47" s="88">
        <v>1</v>
      </c>
      <c r="F47" s="300"/>
      <c r="G47" s="309">
        <f>D47*E47*F47</f>
        <v>0</v>
      </c>
      <c r="I47" s="236"/>
    </row>
    <row r="48" spans="1:9" s="165" customFormat="1" x14ac:dyDescent="0.3">
      <c r="A48" s="47"/>
      <c r="B48" s="65" t="s">
        <v>29</v>
      </c>
      <c r="C48" s="79" t="s">
        <v>10</v>
      </c>
      <c r="D48" s="80">
        <v>1</v>
      </c>
      <c r="E48" s="88">
        <v>1</v>
      </c>
      <c r="F48" s="300"/>
      <c r="G48" s="309">
        <f>D48*E48*F48</f>
        <v>0</v>
      </c>
      <c r="I48" s="236"/>
    </row>
    <row r="49" spans="1:9" s="165" customFormat="1" x14ac:dyDescent="0.3">
      <c r="A49" s="44"/>
      <c r="B49" s="252" t="s">
        <v>30</v>
      </c>
      <c r="C49" s="79" t="s">
        <v>10</v>
      </c>
      <c r="D49" s="83">
        <v>1</v>
      </c>
      <c r="E49" s="83">
        <v>1</v>
      </c>
      <c r="F49" s="301"/>
      <c r="G49" s="313">
        <f>D49*E49*F49</f>
        <v>0</v>
      </c>
      <c r="I49" s="236"/>
    </row>
    <row r="50" spans="1:9" s="165" customFormat="1" x14ac:dyDescent="0.3">
      <c r="A50" s="47"/>
      <c r="B50" s="63"/>
      <c r="C50" s="279"/>
      <c r="D50" s="82"/>
      <c r="E50" s="82"/>
      <c r="F50" s="297"/>
      <c r="G50" s="312"/>
      <c r="I50" s="236"/>
    </row>
    <row r="51" spans="1:9" s="165" customFormat="1" x14ac:dyDescent="0.3">
      <c r="A51" s="20">
        <v>4</v>
      </c>
      <c r="B51" s="61" t="s">
        <v>31</v>
      </c>
      <c r="C51" s="288"/>
      <c r="D51" s="79"/>
      <c r="E51" s="79"/>
      <c r="F51" s="242"/>
      <c r="G51" s="314"/>
      <c r="I51" s="236"/>
    </row>
    <row r="52" spans="1:9" s="165" customFormat="1" x14ac:dyDescent="0.3">
      <c r="A52" s="20"/>
      <c r="B52" s="253" t="s">
        <v>32</v>
      </c>
      <c r="C52" s="79" t="s">
        <v>10</v>
      </c>
      <c r="D52" s="79">
        <v>1</v>
      </c>
      <c r="E52" s="79">
        <v>1</v>
      </c>
      <c r="F52" s="242"/>
      <c r="G52" s="314">
        <f>+D52*E52*F52</f>
        <v>0</v>
      </c>
      <c r="I52" s="236"/>
    </row>
    <row r="53" spans="1:9" s="165" customFormat="1" x14ac:dyDescent="0.3">
      <c r="A53" s="20"/>
      <c r="B53" s="68"/>
      <c r="C53" s="280"/>
      <c r="D53" s="79"/>
      <c r="E53" s="79"/>
      <c r="F53" s="242"/>
      <c r="G53" s="314"/>
      <c r="I53" s="236"/>
    </row>
    <row r="54" spans="1:9" s="165" customFormat="1" x14ac:dyDescent="0.3">
      <c r="A54" s="47">
        <v>5</v>
      </c>
      <c r="B54" s="62" t="s">
        <v>33</v>
      </c>
      <c r="C54" s="279"/>
      <c r="D54" s="82"/>
      <c r="E54" s="82"/>
      <c r="F54" s="297"/>
      <c r="G54" s="311"/>
      <c r="I54" s="236"/>
    </row>
    <row r="55" spans="1:9" x14ac:dyDescent="0.3">
      <c r="A55" s="20"/>
      <c r="B55" s="69" t="s">
        <v>34</v>
      </c>
      <c r="C55" s="281"/>
      <c r="D55" s="84"/>
      <c r="E55" s="84"/>
      <c r="F55" s="302"/>
      <c r="G55" s="314"/>
    </row>
    <row r="56" spans="1:9" x14ac:dyDescent="0.3">
      <c r="A56" s="43"/>
      <c r="B56" s="70" t="s">
        <v>270</v>
      </c>
      <c r="C56" s="79" t="s">
        <v>177</v>
      </c>
      <c r="D56" s="83">
        <v>1</v>
      </c>
      <c r="E56" s="83">
        <v>1</v>
      </c>
      <c r="F56" s="298"/>
      <c r="G56" s="315">
        <f>+D56*E56*F56</f>
        <v>0</v>
      </c>
    </row>
    <row r="57" spans="1:9" x14ac:dyDescent="0.3">
      <c r="A57" s="43"/>
      <c r="B57" s="70"/>
      <c r="C57" s="281"/>
      <c r="D57" s="83"/>
      <c r="E57" s="83"/>
      <c r="F57" s="298"/>
      <c r="G57" s="315"/>
    </row>
    <row r="58" spans="1:9" x14ac:dyDescent="0.3">
      <c r="A58" s="44"/>
      <c r="B58" s="71" t="s">
        <v>35</v>
      </c>
      <c r="C58" s="281"/>
      <c r="D58" s="83"/>
      <c r="E58" s="83"/>
      <c r="F58" s="298"/>
      <c r="G58" s="315"/>
    </row>
    <row r="59" spans="1:9" s="165" customFormat="1" x14ac:dyDescent="0.3">
      <c r="A59" s="44"/>
      <c r="B59" s="70" t="s">
        <v>240</v>
      </c>
      <c r="C59" s="281" t="s">
        <v>10</v>
      </c>
      <c r="D59" s="83">
        <v>1</v>
      </c>
      <c r="E59" s="83">
        <v>1.5</v>
      </c>
      <c r="F59" s="298"/>
      <c r="G59" s="315">
        <f>+D59*E59*F59</f>
        <v>0</v>
      </c>
      <c r="I59" s="236"/>
    </row>
    <row r="60" spans="1:9" s="165" customFormat="1" x14ac:dyDescent="0.3">
      <c r="A60" s="44"/>
      <c r="B60" s="70" t="s">
        <v>36</v>
      </c>
      <c r="C60" s="281" t="s">
        <v>10</v>
      </c>
      <c r="D60" s="83">
        <v>1</v>
      </c>
      <c r="E60" s="83">
        <v>1</v>
      </c>
      <c r="F60" s="298"/>
      <c r="G60" s="315"/>
      <c r="I60" s="236"/>
    </row>
    <row r="61" spans="1:9" x14ac:dyDescent="0.3">
      <c r="A61" s="44"/>
      <c r="B61" s="72" t="s">
        <v>223</v>
      </c>
      <c r="C61" s="281" t="s">
        <v>10</v>
      </c>
      <c r="D61" s="83">
        <v>1</v>
      </c>
      <c r="E61" s="83">
        <v>1.5</v>
      </c>
      <c r="F61" s="298"/>
      <c r="G61" s="315">
        <f>+D61*E61*F61</f>
        <v>0</v>
      </c>
    </row>
    <row r="62" spans="1:9" s="165" customFormat="1" x14ac:dyDescent="0.3">
      <c r="A62" s="44"/>
      <c r="B62" s="72" t="s">
        <v>37</v>
      </c>
      <c r="C62" s="281" t="s">
        <v>10</v>
      </c>
      <c r="D62" s="83">
        <v>1</v>
      </c>
      <c r="E62" s="83">
        <v>1.5</v>
      </c>
      <c r="F62" s="298"/>
      <c r="G62" s="315">
        <f>D62*E62*F62</f>
        <v>0</v>
      </c>
      <c r="I62" s="236"/>
    </row>
    <row r="63" spans="1:9" x14ac:dyDescent="0.3">
      <c r="A63" s="47"/>
      <c r="B63" s="73"/>
      <c r="C63" s="282"/>
      <c r="D63" s="80"/>
      <c r="E63" s="80"/>
      <c r="F63" s="294"/>
      <c r="G63" s="314"/>
    </row>
    <row r="64" spans="1:9" x14ac:dyDescent="0.3">
      <c r="A64" s="47">
        <v>6</v>
      </c>
      <c r="B64" s="62" t="s">
        <v>38</v>
      </c>
      <c r="C64" s="279"/>
      <c r="D64" s="82"/>
      <c r="E64" s="82"/>
      <c r="F64" s="170"/>
      <c r="G64" s="312"/>
    </row>
    <row r="65" spans="1:12" x14ac:dyDescent="0.3">
      <c r="A65" s="47"/>
      <c r="B65" s="77" t="s">
        <v>39</v>
      </c>
      <c r="C65" s="281" t="s">
        <v>10</v>
      </c>
      <c r="D65" s="80">
        <v>30</v>
      </c>
      <c r="E65" s="80">
        <v>1</v>
      </c>
      <c r="F65" s="294"/>
      <c r="G65" s="309">
        <f>D65*E65*F65</f>
        <v>0</v>
      </c>
    </row>
    <row r="66" spans="1:12" s="165" customFormat="1" x14ac:dyDescent="0.3">
      <c r="A66" s="47"/>
      <c r="B66" s="77" t="s">
        <v>271</v>
      </c>
      <c r="C66" s="281" t="s">
        <v>10</v>
      </c>
      <c r="D66" s="80">
        <v>30</v>
      </c>
      <c r="E66" s="80">
        <v>1</v>
      </c>
      <c r="F66" s="294"/>
      <c r="G66" s="309">
        <f>D66*E66*F66</f>
        <v>0</v>
      </c>
      <c r="I66" s="236"/>
    </row>
    <row r="67" spans="1:12" s="165" customFormat="1" x14ac:dyDescent="0.3">
      <c r="A67" s="47"/>
      <c r="B67" s="77" t="s">
        <v>40</v>
      </c>
      <c r="C67" s="281" t="s">
        <v>10</v>
      </c>
      <c r="D67" s="80">
        <v>50</v>
      </c>
      <c r="E67" s="80">
        <v>1</v>
      </c>
      <c r="F67" s="294"/>
      <c r="G67" s="309">
        <f>D67*E67*F67</f>
        <v>0</v>
      </c>
      <c r="I67" s="236"/>
    </row>
    <row r="68" spans="1:12" s="165" customFormat="1" x14ac:dyDescent="0.3">
      <c r="A68" s="47"/>
      <c r="B68" s="77" t="s">
        <v>187</v>
      </c>
      <c r="C68" s="281" t="s">
        <v>10</v>
      </c>
      <c r="D68" s="80">
        <v>1</v>
      </c>
      <c r="E68" s="80">
        <v>1</v>
      </c>
      <c r="F68" s="294"/>
      <c r="G68" s="309">
        <f>D68*E68*F68</f>
        <v>0</v>
      </c>
      <c r="I68" s="236">
        <v>2420000</v>
      </c>
      <c r="J68" s="165" t="s">
        <v>322</v>
      </c>
      <c r="K68" s="165" t="s">
        <v>323</v>
      </c>
      <c r="L68" s="531">
        <v>45968</v>
      </c>
    </row>
    <row r="69" spans="1:12" s="165" customFormat="1" x14ac:dyDescent="0.3">
      <c r="A69" s="47"/>
      <c r="B69" s="77" t="s">
        <v>188</v>
      </c>
      <c r="C69" s="281" t="s">
        <v>10</v>
      </c>
      <c r="D69" s="80">
        <v>1</v>
      </c>
      <c r="E69" s="80">
        <v>2</v>
      </c>
      <c r="F69" s="294"/>
      <c r="G69" s="309">
        <f>D69*E69*F69</f>
        <v>0</v>
      </c>
      <c r="I69" s="236"/>
    </row>
    <row r="70" spans="1:12" s="165" customFormat="1" x14ac:dyDescent="0.3">
      <c r="A70" s="47"/>
      <c r="B70" s="77"/>
      <c r="C70" s="283"/>
      <c r="D70" s="80"/>
      <c r="E70" s="80"/>
      <c r="F70" s="294"/>
      <c r="G70" s="309"/>
      <c r="I70" s="236"/>
    </row>
    <row r="71" spans="1:12" x14ac:dyDescent="0.3">
      <c r="A71" s="20"/>
      <c r="B71" s="76"/>
      <c r="C71" s="284"/>
      <c r="D71" s="79"/>
      <c r="E71" s="79"/>
      <c r="F71" s="298"/>
      <c r="G71" s="309"/>
    </row>
    <row r="72" spans="1:12" x14ac:dyDescent="0.3">
      <c r="A72" s="47"/>
      <c r="B72" s="74" t="s">
        <v>42</v>
      </c>
      <c r="C72" s="284"/>
      <c r="D72" s="79"/>
      <c r="E72" s="79"/>
      <c r="F72" s="294"/>
      <c r="G72" s="309"/>
    </row>
    <row r="73" spans="1:12" x14ac:dyDescent="0.3">
      <c r="A73" s="47"/>
      <c r="B73" s="75" t="s">
        <v>262</v>
      </c>
      <c r="C73" s="281" t="s">
        <v>181</v>
      </c>
      <c r="D73" s="79">
        <v>25</v>
      </c>
      <c r="E73" s="79">
        <v>1</v>
      </c>
      <c r="F73" s="294"/>
      <c r="G73" s="309"/>
    </row>
    <row r="74" spans="1:12" s="165" customFormat="1" x14ac:dyDescent="0.3">
      <c r="A74" s="47"/>
      <c r="B74" s="75" t="s">
        <v>274</v>
      </c>
      <c r="C74" s="281" t="s">
        <v>10</v>
      </c>
      <c r="D74" s="79">
        <v>15</v>
      </c>
      <c r="E74" s="79">
        <v>1</v>
      </c>
      <c r="F74" s="294"/>
      <c r="G74" s="309">
        <f>D74*E74*F74</f>
        <v>0</v>
      </c>
      <c r="I74" s="236">
        <v>150000</v>
      </c>
      <c r="J74" s="165" t="s">
        <v>312</v>
      </c>
      <c r="K74" s="165" t="s">
        <v>313</v>
      </c>
      <c r="L74" s="531">
        <v>45968</v>
      </c>
    </row>
    <row r="75" spans="1:12" s="165" customFormat="1" x14ac:dyDescent="0.3">
      <c r="A75" s="47"/>
      <c r="B75" s="75"/>
      <c r="C75" s="281"/>
      <c r="D75" s="79"/>
      <c r="E75" s="79"/>
      <c r="F75" s="294"/>
      <c r="G75" s="309"/>
      <c r="I75" s="236">
        <v>2416500</v>
      </c>
      <c r="J75" s="165" t="s">
        <v>314</v>
      </c>
      <c r="K75" s="165" t="s">
        <v>315</v>
      </c>
      <c r="L75" s="531">
        <v>45968</v>
      </c>
    </row>
    <row r="76" spans="1:12" s="165" customFormat="1" x14ac:dyDescent="0.3">
      <c r="A76" s="47"/>
      <c r="B76" s="75" t="s">
        <v>273</v>
      </c>
      <c r="C76" s="281" t="s">
        <v>181</v>
      </c>
      <c r="D76" s="79"/>
      <c r="E76" s="79"/>
      <c r="F76" s="294"/>
      <c r="G76" s="309"/>
      <c r="I76" s="236"/>
    </row>
    <row r="77" spans="1:12" ht="15" thickBot="1" x14ac:dyDescent="0.35">
      <c r="A77" s="53"/>
      <c r="B77" s="78"/>
      <c r="C77" s="285"/>
      <c r="D77" s="85"/>
      <c r="E77" s="90"/>
      <c r="F77" s="303"/>
      <c r="G77" s="314"/>
    </row>
    <row r="78" spans="1:12" ht="15" thickBot="1" x14ac:dyDescent="0.35">
      <c r="A78" s="15"/>
      <c r="B78" s="94"/>
      <c r="C78" s="289"/>
      <c r="D78" s="94"/>
      <c r="E78" s="95"/>
      <c r="F78" s="304"/>
      <c r="G78" s="316">
        <f>SUM(G22:G77)</f>
        <v>45000000</v>
      </c>
    </row>
    <row r="79" spans="1:12" x14ac:dyDescent="0.3">
      <c r="A79" s="91"/>
      <c r="B79" s="96" t="s">
        <v>11</v>
      </c>
      <c r="C79" s="290"/>
      <c r="D79" s="97"/>
      <c r="E79" s="98"/>
      <c r="F79" s="305"/>
      <c r="G79" s="317">
        <f>+G78</f>
        <v>45000000</v>
      </c>
    </row>
    <row r="80" spans="1:12" x14ac:dyDescent="0.3">
      <c r="A80" s="92"/>
      <c r="B80" s="99"/>
      <c r="C80" s="291"/>
      <c r="D80" s="22"/>
      <c r="E80" s="100"/>
      <c r="F80" s="306"/>
      <c r="G80" s="318"/>
    </row>
    <row r="81" spans="1:7" x14ac:dyDescent="0.3">
      <c r="A81" s="92"/>
      <c r="B81" s="325"/>
      <c r="C81" s="326"/>
      <c r="D81" s="163"/>
      <c r="E81" s="327"/>
      <c r="F81" s="328"/>
      <c r="G81" s="329"/>
    </row>
    <row r="82" spans="1:7" x14ac:dyDescent="0.3">
      <c r="A82" s="92"/>
      <c r="B82" s="325"/>
      <c r="C82" s="326"/>
      <c r="D82" s="163"/>
      <c r="E82" s="327"/>
      <c r="F82" s="328"/>
      <c r="G82" s="329"/>
    </row>
    <row r="83" spans="1:7" ht="15" thickBot="1" x14ac:dyDescent="0.35">
      <c r="A83" s="93"/>
      <c r="B83" s="101"/>
      <c r="C83" s="292"/>
      <c r="D83" s="102"/>
      <c r="E83" s="103"/>
      <c r="F83" s="307"/>
      <c r="G83" s="319"/>
    </row>
    <row r="84" spans="1:7" x14ac:dyDescent="0.3">
      <c r="A84" s="2"/>
      <c r="B84" s="26"/>
      <c r="C84" s="289"/>
      <c r="D84" s="324"/>
      <c r="E84" s="324"/>
      <c r="F84" s="324"/>
      <c r="G84" s="243"/>
    </row>
    <row r="85" spans="1:7" x14ac:dyDescent="0.3">
      <c r="A85" s="2"/>
      <c r="B85" s="26"/>
      <c r="C85" s="289"/>
      <c r="D85" s="324"/>
      <c r="E85" s="324"/>
      <c r="F85" s="324"/>
      <c r="G85" s="243"/>
    </row>
    <row r="88" spans="1:7" ht="15.6" x14ac:dyDescent="0.3">
      <c r="A88" s="320" t="s">
        <v>202</v>
      </c>
      <c r="B88" s="320"/>
    </row>
    <row r="89" spans="1:7" ht="15.6" x14ac:dyDescent="0.3">
      <c r="A89" s="270">
        <v>1</v>
      </c>
      <c r="B89" s="321" t="s">
        <v>203</v>
      </c>
    </row>
    <row r="90" spans="1:7" ht="15.6" x14ac:dyDescent="0.3">
      <c r="A90" s="270">
        <v>2</v>
      </c>
      <c r="B90" s="321" t="s">
        <v>204</v>
      </c>
    </row>
    <row r="91" spans="1:7" ht="15.6" x14ac:dyDescent="0.3">
      <c r="A91" s="270">
        <v>3</v>
      </c>
      <c r="B91" s="321" t="s">
        <v>205</v>
      </c>
    </row>
    <row r="92" spans="1:7" ht="15.6" x14ac:dyDescent="0.3">
      <c r="A92" s="270">
        <v>4</v>
      </c>
      <c r="B92" s="322" t="s">
        <v>206</v>
      </c>
    </row>
    <row r="93" spans="1:7" ht="15.6" x14ac:dyDescent="0.3">
      <c r="A93" s="270"/>
      <c r="B93" s="323" t="s">
        <v>207</v>
      </c>
    </row>
    <row r="94" spans="1:7" ht="15.6" x14ac:dyDescent="0.3">
      <c r="A94" s="270"/>
      <c r="B94" s="322" t="s">
        <v>208</v>
      </c>
    </row>
    <row r="95" spans="1:7" ht="15.6" x14ac:dyDescent="0.3">
      <c r="A95" s="270"/>
      <c r="B95" s="321" t="s">
        <v>209</v>
      </c>
    </row>
    <row r="96" spans="1:7" ht="15.6" x14ac:dyDescent="0.3">
      <c r="A96" s="270"/>
      <c r="B96" s="321" t="s">
        <v>210</v>
      </c>
    </row>
    <row r="97" spans="1:7" ht="15.6" x14ac:dyDescent="0.3">
      <c r="A97" s="270"/>
      <c r="B97" s="321" t="s">
        <v>211</v>
      </c>
    </row>
    <row r="98" spans="1:7" ht="15.6" x14ac:dyDescent="0.3">
      <c r="A98" s="270"/>
      <c r="B98" s="322" t="s">
        <v>212</v>
      </c>
    </row>
    <row r="101" spans="1:7" ht="15.6" x14ac:dyDescent="0.3">
      <c r="B101" s="322" t="s">
        <v>213</v>
      </c>
      <c r="C101" s="330"/>
      <c r="D101" s="330"/>
      <c r="E101" s="330"/>
      <c r="F101" s="331" t="s">
        <v>214</v>
      </c>
      <c r="G101" s="332"/>
    </row>
    <row r="102" spans="1:7" ht="15.6" x14ac:dyDescent="0.3">
      <c r="B102" s="323"/>
      <c r="C102" s="330"/>
      <c r="D102" s="330"/>
      <c r="E102" s="330"/>
      <c r="F102" s="333"/>
      <c r="G102" s="332"/>
    </row>
    <row r="103" spans="1:7" ht="15.6" x14ac:dyDescent="0.3">
      <c r="B103" s="334"/>
      <c r="C103" s="335"/>
      <c r="D103" s="330"/>
      <c r="E103" s="330"/>
      <c r="F103" s="333"/>
      <c r="G103" s="332"/>
    </row>
    <row r="104" spans="1:7" ht="15.6" x14ac:dyDescent="0.3">
      <c r="B104" s="334"/>
      <c r="C104" s="335"/>
      <c r="D104" s="330"/>
      <c r="E104" s="330"/>
      <c r="F104" s="333"/>
      <c r="G104" s="332"/>
    </row>
    <row r="105" spans="1:7" ht="15.6" x14ac:dyDescent="0.3">
      <c r="B105" s="334"/>
      <c r="C105" s="335"/>
      <c r="D105" s="330"/>
      <c r="E105" s="330"/>
      <c r="F105" s="333"/>
      <c r="G105" s="332"/>
    </row>
    <row r="106" spans="1:7" ht="15.6" x14ac:dyDescent="0.3">
      <c r="B106" s="272"/>
      <c r="C106" s="335"/>
      <c r="D106" s="330"/>
      <c r="E106" s="330"/>
      <c r="F106" s="333"/>
      <c r="G106" s="332"/>
    </row>
    <row r="107" spans="1:7" ht="15.6" x14ac:dyDescent="0.3">
      <c r="B107" s="334"/>
      <c r="C107" s="335"/>
      <c r="D107" s="335"/>
      <c r="E107" s="335"/>
      <c r="F107" s="333"/>
      <c r="G107" s="332"/>
    </row>
    <row r="108" spans="1:7" ht="15.6" x14ac:dyDescent="0.3">
      <c r="B108" s="336" t="s">
        <v>215</v>
      </c>
      <c r="C108" s="335"/>
      <c r="D108" s="335"/>
      <c r="E108" s="335"/>
      <c r="F108" s="337" t="s">
        <v>216</v>
      </c>
      <c r="G108" s="338"/>
    </row>
    <row r="109" spans="1:7" ht="15.6" x14ac:dyDescent="0.3">
      <c r="B109" s="339" t="s">
        <v>217</v>
      </c>
      <c r="C109" s="335"/>
      <c r="D109" s="335"/>
      <c r="E109" s="335"/>
      <c r="F109" s="337" t="s">
        <v>218</v>
      </c>
      <c r="G109" s="338"/>
    </row>
  </sheetData>
  <mergeCells count="1">
    <mergeCell ref="F3:G3"/>
  </mergeCells>
  <pageMargins left="0.70866141732283472" right="0.70866141732283472" top="0.74803149606299213" bottom="0.7480314960629921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0CB6-EB4C-4DD6-85E2-FB4EE4060175}">
  <sheetPr>
    <pageSetUpPr fitToPage="1"/>
  </sheetPr>
  <dimension ref="A2:R72"/>
  <sheetViews>
    <sheetView showGridLines="0" zoomScale="70" zoomScaleNormal="70" workbookViewId="0">
      <selection activeCell="A34" sqref="A34:XFD40"/>
    </sheetView>
  </sheetViews>
  <sheetFormatPr defaultRowHeight="14.4" x14ac:dyDescent="0.3"/>
  <cols>
    <col min="1" max="1" width="6.109375" customWidth="1"/>
    <col min="2" max="2" width="78.44140625" customWidth="1"/>
    <col min="3" max="5" width="10" customWidth="1"/>
    <col min="6" max="6" width="14.5546875" customWidth="1"/>
    <col min="7" max="7" width="25.109375" customWidth="1"/>
    <col min="9" max="9" width="13.109375" style="166" bestFit="1" customWidth="1"/>
  </cols>
  <sheetData>
    <row r="2" spans="1:9" s="165" customFormat="1" x14ac:dyDescent="0.3">
      <c r="D2" s="275"/>
      <c r="I2" s="236"/>
    </row>
    <row r="3" spans="1:9" s="165" customFormat="1" x14ac:dyDescent="0.3">
      <c r="D3" s="275"/>
      <c r="I3" s="236"/>
    </row>
    <row r="4" spans="1:9" s="165" customFormat="1" x14ac:dyDescent="0.3">
      <c r="D4" s="275"/>
      <c r="G4" s="603" t="s">
        <v>10</v>
      </c>
      <c r="H4" s="603"/>
      <c r="I4" s="236"/>
    </row>
    <row r="5" spans="1:9" s="165" customFormat="1" x14ac:dyDescent="0.3">
      <c r="D5" s="275"/>
      <c r="G5" s="256"/>
      <c r="H5" s="256"/>
      <c r="I5" s="236"/>
    </row>
    <row r="6" spans="1:9" s="165" customFormat="1" x14ac:dyDescent="0.3">
      <c r="D6" s="275"/>
      <c r="G6" s="256"/>
      <c r="H6" s="256"/>
      <c r="I6" s="236"/>
    </row>
    <row r="7" spans="1:9" s="165" customFormat="1" x14ac:dyDescent="0.3">
      <c r="D7" s="275"/>
      <c r="G7" s="256"/>
      <c r="H7" s="256"/>
      <c r="I7" s="236"/>
    </row>
    <row r="8" spans="1:9" s="165" customFormat="1" x14ac:dyDescent="0.3">
      <c r="D8" s="275"/>
      <c r="G8" s="256"/>
      <c r="H8" s="256"/>
      <c r="I8" s="236"/>
    </row>
    <row r="9" spans="1:9" s="165" customFormat="1" x14ac:dyDescent="0.3">
      <c r="D9" s="275"/>
      <c r="G9" s="256"/>
      <c r="H9" s="256"/>
      <c r="I9" s="236"/>
    </row>
    <row r="10" spans="1:9" s="165" customFormat="1" x14ac:dyDescent="0.3">
      <c r="D10" s="275"/>
      <c r="G10" s="256"/>
      <c r="H10" s="256"/>
      <c r="I10" s="236"/>
    </row>
    <row r="11" spans="1:9" s="165" customFormat="1" x14ac:dyDescent="0.3">
      <c r="D11" s="275"/>
      <c r="G11" s="340"/>
      <c r="H11" s="340"/>
      <c r="I11" s="236"/>
    </row>
    <row r="12" spans="1:9" s="165" customFormat="1" ht="15.6" x14ac:dyDescent="0.3">
      <c r="A12" s="260" t="s">
        <v>189</v>
      </c>
      <c r="B12" s="261" t="s">
        <v>306</v>
      </c>
      <c r="C12" s="261"/>
      <c r="D12" s="343"/>
      <c r="E12" s="276" t="s">
        <v>190</v>
      </c>
      <c r="F12" s="262" t="s">
        <v>191</v>
      </c>
      <c r="G12" s="263"/>
      <c r="H12" s="264"/>
      <c r="I12" s="236"/>
    </row>
    <row r="13" spans="1:9" s="165" customFormat="1" ht="15.6" x14ac:dyDescent="0.3">
      <c r="A13" s="265" t="s">
        <v>192</v>
      </c>
      <c r="B13" s="266" t="s">
        <v>193</v>
      </c>
      <c r="C13" s="266"/>
      <c r="E13" s="277" t="s">
        <v>244</v>
      </c>
      <c r="F13" s="266" t="s">
        <v>257</v>
      </c>
      <c r="G13" s="267"/>
      <c r="H13" s="264"/>
      <c r="I13" s="236"/>
    </row>
    <row r="14" spans="1:9" s="165" customFormat="1" ht="15.6" x14ac:dyDescent="0.3">
      <c r="A14" s="265" t="s">
        <v>194</v>
      </c>
      <c r="B14" s="266" t="s">
        <v>195</v>
      </c>
      <c r="C14" s="266"/>
      <c r="E14" s="277" t="s">
        <v>196</v>
      </c>
      <c r="F14" s="266" t="s">
        <v>246</v>
      </c>
      <c r="G14" s="267"/>
      <c r="H14" s="264"/>
      <c r="I14" s="236"/>
    </row>
    <row r="15" spans="1:9" s="165" customFormat="1" ht="15.6" x14ac:dyDescent="0.3">
      <c r="A15" s="268" t="s">
        <v>197</v>
      </c>
      <c r="B15" s="266" t="s">
        <v>198</v>
      </c>
      <c r="C15" s="266"/>
      <c r="E15" s="277" t="s">
        <v>199</v>
      </c>
      <c r="F15" s="266" t="s">
        <v>222</v>
      </c>
      <c r="G15" s="267"/>
      <c r="H15" s="264"/>
      <c r="I15" s="236"/>
    </row>
    <row r="16" spans="1:9" s="165" customFormat="1" ht="15.6" x14ac:dyDescent="0.3">
      <c r="A16" s="268"/>
      <c r="B16" s="266" t="s">
        <v>200</v>
      </c>
      <c r="C16" s="266"/>
      <c r="D16" s="270"/>
      <c r="E16" s="271"/>
      <c r="F16" s="272"/>
      <c r="G16" s="273"/>
      <c r="H16" s="256"/>
      <c r="I16" s="236"/>
    </row>
    <row r="17" spans="1:18" s="165" customFormat="1" ht="15.6" x14ac:dyDescent="0.3">
      <c r="A17" s="268"/>
      <c r="B17" s="269" t="s">
        <v>201</v>
      </c>
      <c r="C17" s="269"/>
      <c r="D17" s="270"/>
      <c r="E17" s="271"/>
      <c r="F17" s="272"/>
      <c r="G17" s="274"/>
      <c r="H17" s="256"/>
      <c r="I17" s="236"/>
    </row>
    <row r="18" spans="1:18" s="165" customFormat="1" x14ac:dyDescent="0.3">
      <c r="D18" s="275"/>
      <c r="G18" s="256"/>
      <c r="H18" s="256"/>
      <c r="I18" s="236"/>
    </row>
    <row r="21" spans="1:18" ht="15" thickBot="1" x14ac:dyDescent="0.35">
      <c r="F21" s="604"/>
      <c r="G21" s="604"/>
    </row>
    <row r="22" spans="1:18" ht="16.2" thickBot="1" x14ac:dyDescent="0.35">
      <c r="A22" s="131" t="s">
        <v>0</v>
      </c>
      <c r="B22" s="415" t="s">
        <v>1</v>
      </c>
      <c r="C22" s="416" t="s">
        <v>2</v>
      </c>
      <c r="D22" s="121" t="s">
        <v>3</v>
      </c>
      <c r="E22" s="117" t="s">
        <v>4</v>
      </c>
      <c r="F22" s="344" t="s">
        <v>46</v>
      </c>
      <c r="G22" s="345" t="s">
        <v>11</v>
      </c>
    </row>
    <row r="23" spans="1:18" x14ac:dyDescent="0.3">
      <c r="A23" s="111">
        <v>1</v>
      </c>
      <c r="B23" s="130" t="s">
        <v>276</v>
      </c>
      <c r="C23" s="417" t="s">
        <v>369</v>
      </c>
      <c r="D23" s="118">
        <v>1</v>
      </c>
      <c r="E23" s="118">
        <v>1</v>
      </c>
      <c r="F23" s="226">
        <v>5000000</v>
      </c>
      <c r="G23" s="205">
        <f>D23*E23*F23</f>
        <v>5000000</v>
      </c>
    </row>
    <row r="24" spans="1:18" x14ac:dyDescent="0.3">
      <c r="A24" s="115"/>
      <c r="B24" s="122" t="s">
        <v>47</v>
      </c>
      <c r="C24" s="418"/>
      <c r="D24" s="119"/>
      <c r="E24" s="119"/>
      <c r="F24" s="217"/>
      <c r="G24" s="227"/>
    </row>
    <row r="25" spans="1:18" x14ac:dyDescent="0.3">
      <c r="A25" s="115"/>
      <c r="B25" s="122"/>
      <c r="C25" s="418"/>
      <c r="D25" s="119"/>
      <c r="E25" s="119"/>
      <c r="F25" s="217"/>
      <c r="G25" s="227"/>
    </row>
    <row r="26" spans="1:18" s="572" customFormat="1" x14ac:dyDescent="0.3">
      <c r="A26" s="596">
        <v>2</v>
      </c>
      <c r="B26" s="597" t="s">
        <v>272</v>
      </c>
      <c r="C26" s="598" t="s">
        <v>369</v>
      </c>
      <c r="D26" s="599">
        <v>1</v>
      </c>
      <c r="E26" s="599">
        <v>1</v>
      </c>
      <c r="F26" s="600">
        <v>3000000</v>
      </c>
      <c r="G26" s="601">
        <f>D26*E26*F26</f>
        <v>3000000</v>
      </c>
      <c r="I26" s="571" t="s">
        <v>351</v>
      </c>
    </row>
    <row r="27" spans="1:18" x14ac:dyDescent="0.3">
      <c r="A27" s="129"/>
      <c r="B27" s="63" t="s">
        <v>275</v>
      </c>
      <c r="C27" s="279" t="s">
        <v>10</v>
      </c>
      <c r="D27" s="119">
        <v>5</v>
      </c>
      <c r="E27" s="119">
        <v>1</v>
      </c>
      <c r="F27" s="208"/>
      <c r="G27" s="229">
        <f t="shared" ref="G27:G30" si="0">D27*E27*F27</f>
        <v>0</v>
      </c>
      <c r="I27" s="540" t="s">
        <v>352</v>
      </c>
      <c r="J27" s="539"/>
      <c r="K27" s="539"/>
      <c r="L27" s="539"/>
      <c r="M27" s="539"/>
      <c r="N27" s="539"/>
      <c r="O27" s="539"/>
      <c r="P27" s="539"/>
      <c r="Q27" s="539"/>
      <c r="R27" s="539"/>
    </row>
    <row r="28" spans="1:18" x14ac:dyDescent="0.3">
      <c r="A28" s="111"/>
      <c r="B28" s="63" t="s">
        <v>48</v>
      </c>
      <c r="C28" s="279" t="s">
        <v>10</v>
      </c>
      <c r="D28" s="80">
        <v>1</v>
      </c>
      <c r="E28" s="80">
        <v>1</v>
      </c>
      <c r="F28" s="225"/>
      <c r="G28" s="229">
        <f t="shared" si="0"/>
        <v>0</v>
      </c>
    </row>
    <row r="29" spans="1:18" x14ac:dyDescent="0.3">
      <c r="A29" s="111"/>
      <c r="B29" s="63" t="s">
        <v>49</v>
      </c>
      <c r="C29" s="279" t="s">
        <v>10</v>
      </c>
      <c r="D29" s="80">
        <v>2</v>
      </c>
      <c r="E29" s="80">
        <v>1</v>
      </c>
      <c r="F29" s="225"/>
      <c r="G29" s="229">
        <f t="shared" si="0"/>
        <v>0</v>
      </c>
    </row>
    <row r="30" spans="1:18" x14ac:dyDescent="0.3">
      <c r="A30" s="111"/>
      <c r="B30" s="63" t="s">
        <v>50</v>
      </c>
      <c r="C30" s="279" t="s">
        <v>10</v>
      </c>
      <c r="D30" s="80">
        <v>2</v>
      </c>
      <c r="E30" s="80">
        <v>1</v>
      </c>
      <c r="F30" s="225"/>
      <c r="G30" s="229">
        <f t="shared" si="0"/>
        <v>0</v>
      </c>
    </row>
    <row r="31" spans="1:18" x14ac:dyDescent="0.3">
      <c r="A31" s="111"/>
      <c r="B31" s="63"/>
      <c r="C31" s="63"/>
      <c r="D31" s="80"/>
      <c r="E31" s="80"/>
      <c r="F31" s="225"/>
      <c r="G31" s="229"/>
    </row>
    <row r="32" spans="1:18" ht="15" thickBot="1" x14ac:dyDescent="0.35">
      <c r="A32" s="116"/>
      <c r="B32" s="123"/>
      <c r="C32" s="123"/>
      <c r="D32" s="120"/>
      <c r="E32" s="120"/>
      <c r="F32" s="231"/>
      <c r="G32" s="212"/>
    </row>
    <row r="33" spans="1:7" x14ac:dyDescent="0.3">
      <c r="A33" s="91"/>
      <c r="B33" s="96" t="s">
        <v>11</v>
      </c>
      <c r="C33" s="200"/>
      <c r="D33" s="124"/>
      <c r="E33" s="124"/>
      <c r="F33" s="125"/>
      <c r="G33" s="126">
        <f>SUM(G23:G32)</f>
        <v>8000000</v>
      </c>
    </row>
    <row r="34" spans="1:7" x14ac:dyDescent="0.3">
      <c r="A34" s="92"/>
      <c r="B34" s="99"/>
      <c r="C34" s="28"/>
      <c r="D34" s="22"/>
      <c r="E34" s="22"/>
      <c r="F34" s="100"/>
      <c r="G34" s="104"/>
    </row>
    <row r="35" spans="1:7" x14ac:dyDescent="0.3">
      <c r="A35" s="92"/>
      <c r="B35" s="325"/>
      <c r="C35" s="348"/>
      <c r="D35" s="163"/>
      <c r="E35" s="163"/>
      <c r="F35" s="327"/>
      <c r="G35" s="346"/>
    </row>
    <row r="36" spans="1:7" x14ac:dyDescent="0.3">
      <c r="A36" s="92"/>
      <c r="B36" s="325"/>
      <c r="C36" s="348"/>
      <c r="D36" s="163"/>
      <c r="E36" s="163"/>
      <c r="F36" s="327"/>
      <c r="G36" s="346"/>
    </row>
    <row r="37" spans="1:7" ht="15" thickBot="1" x14ac:dyDescent="0.35">
      <c r="A37" s="93"/>
      <c r="B37" s="101"/>
      <c r="C37" s="201"/>
      <c r="D37" s="102"/>
      <c r="E37" s="102"/>
      <c r="F37" s="103"/>
      <c r="G37" s="105"/>
    </row>
    <row r="39" spans="1:7" ht="15.6" x14ac:dyDescent="0.3">
      <c r="A39" s="320"/>
      <c r="B39" s="320"/>
      <c r="C39" s="320"/>
      <c r="D39" s="249"/>
    </row>
    <row r="40" spans="1:7" ht="15.6" x14ac:dyDescent="0.3">
      <c r="A40" s="270"/>
      <c r="B40" s="321"/>
      <c r="C40" s="321"/>
      <c r="D40" s="249"/>
    </row>
    <row r="41" spans="1:7" ht="15.6" x14ac:dyDescent="0.3">
      <c r="A41" s="270">
        <v>2</v>
      </c>
      <c r="B41" s="321" t="s">
        <v>204</v>
      </c>
      <c r="C41" s="321"/>
      <c r="D41" s="249"/>
    </row>
    <row r="42" spans="1:7" ht="15.6" x14ac:dyDescent="0.3">
      <c r="A42" s="270">
        <v>3</v>
      </c>
      <c r="B42" s="321" t="s">
        <v>205</v>
      </c>
      <c r="C42" s="321"/>
      <c r="D42" s="249"/>
    </row>
    <row r="43" spans="1:7" ht="15.6" x14ac:dyDescent="0.3">
      <c r="A43" s="270">
        <v>4</v>
      </c>
      <c r="B43" s="322" t="s">
        <v>206</v>
      </c>
      <c r="C43" s="322"/>
      <c r="D43" s="249"/>
    </row>
    <row r="44" spans="1:7" ht="15.6" x14ac:dyDescent="0.3">
      <c r="A44" s="270"/>
      <c r="B44" s="323" t="s">
        <v>207</v>
      </c>
      <c r="C44" s="323"/>
      <c r="D44" s="249"/>
    </row>
    <row r="45" spans="1:7" ht="15.6" x14ac:dyDescent="0.3">
      <c r="A45" s="270"/>
      <c r="B45" s="322" t="s">
        <v>208</v>
      </c>
      <c r="C45" s="322"/>
      <c r="D45" s="249"/>
    </row>
    <row r="46" spans="1:7" ht="15.6" x14ac:dyDescent="0.3">
      <c r="A46" s="270"/>
      <c r="B46" s="321" t="s">
        <v>209</v>
      </c>
      <c r="C46" s="321"/>
      <c r="D46" s="249"/>
    </row>
    <row r="47" spans="1:7" ht="15.6" x14ac:dyDescent="0.3">
      <c r="A47" s="270"/>
      <c r="B47" s="321" t="s">
        <v>210</v>
      </c>
      <c r="C47" s="321"/>
      <c r="D47" s="249"/>
    </row>
    <row r="48" spans="1:7" ht="15.6" x14ac:dyDescent="0.3">
      <c r="A48" s="270"/>
      <c r="B48" s="321" t="s">
        <v>211</v>
      </c>
      <c r="C48" s="321"/>
      <c r="D48" s="249"/>
    </row>
    <row r="49" spans="1:8" ht="15.6" x14ac:dyDescent="0.3">
      <c r="A49" s="270"/>
      <c r="B49" s="322" t="s">
        <v>212</v>
      </c>
      <c r="C49" s="322"/>
      <c r="D49" s="249"/>
    </row>
    <row r="50" spans="1:8" x14ac:dyDescent="0.3">
      <c r="D50" s="249"/>
    </row>
    <row r="53" spans="1:8" ht="15.6" x14ac:dyDescent="0.3">
      <c r="B53" s="322" t="s">
        <v>213</v>
      </c>
      <c r="C53" s="322"/>
      <c r="D53" s="330"/>
      <c r="E53" s="330"/>
      <c r="F53" s="330"/>
      <c r="G53" s="331" t="s">
        <v>214</v>
      </c>
      <c r="H53" s="332"/>
    </row>
    <row r="54" spans="1:8" ht="15.6" x14ac:dyDescent="0.3">
      <c r="B54" s="323"/>
      <c r="C54" s="323"/>
      <c r="D54" s="330"/>
      <c r="E54" s="330"/>
      <c r="F54" s="330"/>
      <c r="G54" s="333"/>
      <c r="H54" s="332"/>
    </row>
    <row r="55" spans="1:8" ht="15.6" x14ac:dyDescent="0.3">
      <c r="B55" s="334"/>
      <c r="C55" s="334"/>
      <c r="D55" s="335"/>
      <c r="E55" s="330"/>
      <c r="F55" s="330"/>
      <c r="G55" s="333"/>
      <c r="H55" s="332"/>
    </row>
    <row r="56" spans="1:8" ht="15.6" x14ac:dyDescent="0.3">
      <c r="B56" s="334"/>
      <c r="C56" s="334"/>
      <c r="D56" s="335"/>
      <c r="E56" s="330"/>
      <c r="F56" s="330"/>
      <c r="G56" s="333"/>
      <c r="H56" s="332"/>
    </row>
    <row r="57" spans="1:8" ht="15.6" x14ac:dyDescent="0.3">
      <c r="B57" s="334"/>
      <c r="C57" s="334"/>
      <c r="D57" s="335"/>
      <c r="E57" s="330"/>
      <c r="F57" s="330"/>
      <c r="G57" s="333"/>
      <c r="H57" s="332"/>
    </row>
    <row r="58" spans="1:8" ht="15.6" x14ac:dyDescent="0.3">
      <c r="B58" s="272"/>
      <c r="C58" s="272"/>
      <c r="D58" s="335"/>
      <c r="E58" s="330"/>
      <c r="F58" s="330"/>
      <c r="G58" s="333"/>
      <c r="H58" s="332"/>
    </row>
    <row r="59" spans="1:8" ht="15.6" x14ac:dyDescent="0.3">
      <c r="B59" s="334"/>
      <c r="C59" s="334"/>
      <c r="D59" s="335"/>
      <c r="E59" s="335"/>
      <c r="F59" s="335"/>
      <c r="G59" s="333"/>
      <c r="H59" s="332"/>
    </row>
    <row r="60" spans="1:8" ht="15.6" x14ac:dyDescent="0.3">
      <c r="B60" s="336" t="s">
        <v>215</v>
      </c>
      <c r="C60" s="336"/>
      <c r="D60" s="335"/>
      <c r="E60" s="335"/>
      <c r="F60" s="335"/>
      <c r="G60" s="337" t="s">
        <v>216</v>
      </c>
      <c r="H60" s="338"/>
    </row>
    <row r="61" spans="1:8" ht="15.6" x14ac:dyDescent="0.3">
      <c r="B61" s="339" t="s">
        <v>217</v>
      </c>
      <c r="C61" s="339"/>
      <c r="D61" s="335"/>
      <c r="E61" s="335"/>
      <c r="F61" s="335"/>
      <c r="G61" s="337" t="s">
        <v>218</v>
      </c>
      <c r="H61" s="338"/>
    </row>
    <row r="62" spans="1:8" x14ac:dyDescent="0.3">
      <c r="D62" s="249"/>
    </row>
    <row r="63" spans="1:8" x14ac:dyDescent="0.3">
      <c r="D63" s="249"/>
    </row>
    <row r="64" spans="1:8" x14ac:dyDescent="0.3">
      <c r="D64" s="249"/>
    </row>
    <row r="65" spans="4:4" x14ac:dyDescent="0.3">
      <c r="D65" s="249"/>
    </row>
    <row r="66" spans="4:4" x14ac:dyDescent="0.3">
      <c r="D66" s="249"/>
    </row>
    <row r="67" spans="4:4" x14ac:dyDescent="0.3">
      <c r="D67" s="249"/>
    </row>
    <row r="68" spans="4:4" x14ac:dyDescent="0.3">
      <c r="D68" s="249"/>
    </row>
    <row r="69" spans="4:4" x14ac:dyDescent="0.3">
      <c r="D69" s="249"/>
    </row>
    <row r="70" spans="4:4" x14ac:dyDescent="0.3">
      <c r="D70" s="249"/>
    </row>
    <row r="71" spans="4:4" x14ac:dyDescent="0.3">
      <c r="D71" s="249"/>
    </row>
    <row r="72" spans="4:4" x14ac:dyDescent="0.3">
      <c r="D72" s="249"/>
    </row>
  </sheetData>
  <mergeCells count="2">
    <mergeCell ref="F21:G21"/>
    <mergeCell ref="G4:H4"/>
  </mergeCells>
  <pageMargins left="0.70866141732283472" right="0.70866141732283472" top="0.74803149606299213" bottom="0.74803149606299213" header="0.31496062992125984" footer="0.31496062992125984"/>
  <pageSetup paperSize="9" scale="5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56B5A-DD62-4D20-85D1-342FF83F407A}">
  <sheetPr>
    <pageSetUpPr fitToPage="1"/>
  </sheetPr>
  <dimension ref="A2:M145"/>
  <sheetViews>
    <sheetView showGridLines="0" tabSelected="1" topLeftCell="A16" zoomScale="91" zoomScaleNormal="70" workbookViewId="0">
      <selection activeCell="C27" sqref="C27"/>
    </sheetView>
  </sheetViews>
  <sheetFormatPr defaultRowHeight="14.4" x14ac:dyDescent="0.3"/>
  <cols>
    <col min="1" max="1" width="6.5546875" customWidth="1"/>
    <col min="2" max="2" width="108.44140625" customWidth="1"/>
    <col min="3" max="3" width="14" style="249" customWidth="1"/>
    <col min="4" max="4" width="11.109375" customWidth="1"/>
    <col min="5" max="5" width="14.33203125" customWidth="1"/>
    <col min="6" max="6" width="16.109375" customWidth="1"/>
    <col min="7" max="7" width="29" customWidth="1"/>
    <col min="8" max="8" width="12.5546875" style="166" bestFit="1" customWidth="1"/>
    <col min="9" max="9" width="12.6640625" style="166" bestFit="1" customWidth="1"/>
    <col min="10" max="10" width="11.5546875" style="166" bestFit="1" customWidth="1"/>
    <col min="11" max="11" width="9" customWidth="1"/>
    <col min="12" max="12" width="12.109375" bestFit="1" customWidth="1"/>
  </cols>
  <sheetData>
    <row r="2" spans="1:10" x14ac:dyDescent="0.3">
      <c r="H2"/>
      <c r="I2"/>
      <c r="J2"/>
    </row>
    <row r="3" spans="1:10" s="165" customFormat="1" x14ac:dyDescent="0.3">
      <c r="C3" s="275"/>
      <c r="D3" s="275"/>
    </row>
    <row r="4" spans="1:10" s="165" customFormat="1" x14ac:dyDescent="0.3">
      <c r="C4" s="275"/>
      <c r="D4" s="275"/>
    </row>
    <row r="5" spans="1:10" s="165" customFormat="1" x14ac:dyDescent="0.3">
      <c r="C5" s="275"/>
      <c r="D5" s="275"/>
      <c r="G5" s="256" t="s">
        <v>10</v>
      </c>
    </row>
    <row r="6" spans="1:10" s="165" customFormat="1" x14ac:dyDescent="0.3">
      <c r="C6" s="275"/>
      <c r="D6" s="275"/>
      <c r="G6" s="256"/>
    </row>
    <row r="7" spans="1:10" s="165" customFormat="1" x14ac:dyDescent="0.3">
      <c r="C7" s="275"/>
      <c r="D7" s="275"/>
      <c r="G7" s="256"/>
    </row>
    <row r="8" spans="1:10" s="165" customFormat="1" x14ac:dyDescent="0.3">
      <c r="C8" s="275"/>
      <c r="D8" s="275"/>
      <c r="G8" s="256"/>
    </row>
    <row r="9" spans="1:10" s="165" customFormat="1" x14ac:dyDescent="0.3">
      <c r="C9" s="275"/>
      <c r="D9" s="275"/>
      <c r="G9" s="256"/>
    </row>
    <row r="10" spans="1:10" s="165" customFormat="1" x14ac:dyDescent="0.3">
      <c r="C10" s="275"/>
      <c r="D10" s="275"/>
      <c r="G10" s="256"/>
    </row>
    <row r="11" spans="1:10" s="165" customFormat="1" x14ac:dyDescent="0.3">
      <c r="C11" s="275"/>
      <c r="D11" s="275"/>
      <c r="G11" s="256"/>
    </row>
    <row r="12" spans="1:10" s="165" customFormat="1" x14ac:dyDescent="0.3">
      <c r="C12" s="275"/>
      <c r="D12" s="275"/>
      <c r="G12" s="340"/>
    </row>
    <row r="13" spans="1:10" s="165" customFormat="1" ht="15.6" x14ac:dyDescent="0.3">
      <c r="A13" s="260" t="s">
        <v>189</v>
      </c>
      <c r="B13" s="261" t="s">
        <v>306</v>
      </c>
      <c r="C13" s="388"/>
      <c r="D13" s="343"/>
      <c r="E13" s="276" t="s">
        <v>190</v>
      </c>
      <c r="F13" s="262" t="s">
        <v>191</v>
      </c>
      <c r="G13" s="263"/>
      <c r="I13" s="264"/>
    </row>
    <row r="14" spans="1:10" s="165" customFormat="1" ht="15.6" x14ac:dyDescent="0.3">
      <c r="A14" s="265" t="s">
        <v>192</v>
      </c>
      <c r="B14" s="266" t="s">
        <v>193</v>
      </c>
      <c r="C14" s="277"/>
      <c r="E14" s="277" t="s">
        <v>244</v>
      </c>
      <c r="F14" s="266" t="s">
        <v>257</v>
      </c>
      <c r="G14" s="267"/>
      <c r="I14" s="264"/>
    </row>
    <row r="15" spans="1:10" s="165" customFormat="1" ht="15.6" x14ac:dyDescent="0.3">
      <c r="A15" s="265" t="s">
        <v>194</v>
      </c>
      <c r="B15" s="266" t="s">
        <v>195</v>
      </c>
      <c r="C15" s="277"/>
      <c r="E15" s="277" t="s">
        <v>196</v>
      </c>
      <c r="F15" s="266" t="s">
        <v>246</v>
      </c>
      <c r="G15" s="267"/>
      <c r="I15" s="264"/>
    </row>
    <row r="16" spans="1:10" s="165" customFormat="1" ht="15.6" x14ac:dyDescent="0.3">
      <c r="A16" s="268" t="s">
        <v>197</v>
      </c>
      <c r="B16" s="266" t="s">
        <v>198</v>
      </c>
      <c r="C16" s="277"/>
      <c r="E16" s="277" t="s">
        <v>199</v>
      </c>
      <c r="F16" s="266" t="s">
        <v>247</v>
      </c>
      <c r="G16" s="267"/>
      <c r="I16" s="264"/>
    </row>
    <row r="17" spans="1:9" s="165" customFormat="1" ht="15.6" x14ac:dyDescent="0.3">
      <c r="A17" s="268"/>
      <c r="B17" s="266" t="s">
        <v>200</v>
      </c>
      <c r="C17" s="277"/>
      <c r="D17" s="270"/>
      <c r="E17" s="271"/>
      <c r="F17" s="272"/>
      <c r="G17" s="273"/>
    </row>
    <row r="18" spans="1:9" s="165" customFormat="1" ht="15.6" x14ac:dyDescent="0.3">
      <c r="A18" s="268"/>
      <c r="B18" s="269" t="s">
        <v>201</v>
      </c>
      <c r="C18" s="277"/>
      <c r="D18" s="270"/>
      <c r="E18" s="271"/>
      <c r="F18" s="272"/>
      <c r="G18" s="274"/>
    </row>
    <row r="19" spans="1:9" s="165" customFormat="1" x14ac:dyDescent="0.3">
      <c r="C19" s="275"/>
      <c r="D19" s="275"/>
      <c r="G19" s="256"/>
    </row>
    <row r="21" spans="1:9" ht="15" thickBot="1" x14ac:dyDescent="0.35">
      <c r="F21" s="607" t="s">
        <v>10</v>
      </c>
      <c r="G21" s="607"/>
    </row>
    <row r="22" spans="1:9" ht="16.2" thickBot="1" x14ac:dyDescent="0.35">
      <c r="A22" s="132" t="s">
        <v>0</v>
      </c>
      <c r="B22" s="421" t="s">
        <v>1</v>
      </c>
      <c r="C22" s="133" t="s">
        <v>2</v>
      </c>
      <c r="D22" s="133" t="s">
        <v>3</v>
      </c>
      <c r="E22" s="421" t="s">
        <v>4</v>
      </c>
      <c r="F22" s="485" t="s">
        <v>46</v>
      </c>
      <c r="G22" s="342" t="s">
        <v>11</v>
      </c>
      <c r="I22" s="166" t="s">
        <v>308</v>
      </c>
    </row>
    <row r="23" spans="1:9" x14ac:dyDescent="0.3">
      <c r="A23" s="134"/>
      <c r="B23" s="2"/>
      <c r="C23" s="376"/>
      <c r="D23" s="3"/>
      <c r="E23" s="3"/>
      <c r="F23" s="478"/>
      <c r="G23" s="308"/>
    </row>
    <row r="24" spans="1:9" x14ac:dyDescent="0.3">
      <c r="A24" s="144" t="s">
        <v>5</v>
      </c>
      <c r="B24" s="422" t="s">
        <v>6</v>
      </c>
      <c r="C24" s="398"/>
      <c r="D24" s="4"/>
      <c r="E24" s="4"/>
      <c r="F24" s="486"/>
      <c r="G24" s="311"/>
    </row>
    <row r="25" spans="1:9" x14ac:dyDescent="0.3">
      <c r="A25" s="135"/>
      <c r="B25" s="29" t="s">
        <v>51</v>
      </c>
      <c r="C25" s="390"/>
      <c r="D25" s="4"/>
      <c r="E25" s="5"/>
      <c r="F25" s="486"/>
      <c r="G25" s="311"/>
    </row>
    <row r="26" spans="1:9" x14ac:dyDescent="0.3">
      <c r="A26" s="136"/>
      <c r="B26" s="423"/>
      <c r="C26" s="392"/>
      <c r="D26" s="9"/>
      <c r="E26" s="10"/>
      <c r="F26" s="207"/>
      <c r="G26" s="309"/>
    </row>
    <row r="27" spans="1:9" x14ac:dyDescent="0.3">
      <c r="A27" s="136">
        <v>0</v>
      </c>
      <c r="B27" s="423" t="s">
        <v>376</v>
      </c>
      <c r="C27" s="392"/>
      <c r="D27" s="9"/>
      <c r="E27" s="10"/>
      <c r="F27" s="207"/>
      <c r="G27" s="309"/>
    </row>
    <row r="28" spans="1:9" x14ac:dyDescent="0.3">
      <c r="A28" s="136"/>
      <c r="B28" s="423" t="s">
        <v>377</v>
      </c>
      <c r="C28" s="392"/>
      <c r="D28" s="9"/>
      <c r="E28" s="10"/>
      <c r="F28" s="207"/>
      <c r="G28" s="309"/>
    </row>
    <row r="29" spans="1:9" x14ac:dyDescent="0.3">
      <c r="A29" s="136"/>
      <c r="B29" s="423" t="s">
        <v>378</v>
      </c>
      <c r="C29" s="392"/>
      <c r="D29" s="9"/>
      <c r="E29" s="10"/>
      <c r="F29" s="207"/>
      <c r="G29" s="309"/>
    </row>
    <row r="30" spans="1:9" x14ac:dyDescent="0.3">
      <c r="A30" s="136"/>
      <c r="B30" s="423" t="s">
        <v>379</v>
      </c>
      <c r="C30" s="392"/>
      <c r="D30" s="9"/>
      <c r="E30" s="10"/>
      <c r="F30" s="207"/>
      <c r="G30" s="309"/>
    </row>
    <row r="31" spans="1:9" x14ac:dyDescent="0.3">
      <c r="A31" s="136"/>
      <c r="B31" s="423" t="s">
        <v>380</v>
      </c>
      <c r="C31" s="392"/>
      <c r="D31" s="9"/>
      <c r="E31" s="10"/>
      <c r="F31" s="207"/>
      <c r="G31" s="309"/>
    </row>
    <row r="32" spans="1:9" x14ac:dyDescent="0.3">
      <c r="A32" s="136"/>
      <c r="B32" s="423"/>
      <c r="C32" s="392"/>
      <c r="D32" s="9"/>
      <c r="E32" s="10"/>
      <c r="F32" s="207"/>
      <c r="G32" s="309"/>
    </row>
    <row r="33" spans="1:10" x14ac:dyDescent="0.3">
      <c r="A33" s="136">
        <v>1</v>
      </c>
      <c r="B33" s="50" t="s">
        <v>24</v>
      </c>
      <c r="C33" s="391"/>
      <c r="D33" s="7"/>
      <c r="E33" s="8"/>
      <c r="F33" s="216"/>
      <c r="G33" s="312"/>
    </row>
    <row r="34" spans="1:10" x14ac:dyDescent="0.3">
      <c r="A34" s="136"/>
      <c r="B34" s="183" t="s">
        <v>52</v>
      </c>
      <c r="C34" s="392" t="s">
        <v>10</v>
      </c>
      <c r="D34" s="9">
        <v>1</v>
      </c>
      <c r="E34" s="10">
        <v>1</v>
      </c>
      <c r="F34" s="207"/>
      <c r="G34" s="309">
        <f>D34*E34*F34</f>
        <v>0</v>
      </c>
    </row>
    <row r="35" spans="1:10" x14ac:dyDescent="0.3">
      <c r="A35" s="136"/>
      <c r="B35" s="423"/>
      <c r="C35" s="392"/>
      <c r="D35" s="7"/>
      <c r="E35" s="8"/>
      <c r="F35" s="216"/>
      <c r="G35" s="312"/>
    </row>
    <row r="36" spans="1:10" x14ac:dyDescent="0.3">
      <c r="A36" s="136">
        <v>2</v>
      </c>
      <c r="B36" s="50" t="s">
        <v>53</v>
      </c>
      <c r="C36" s="391"/>
      <c r="D36" s="7"/>
      <c r="E36" s="8"/>
      <c r="F36" s="216"/>
      <c r="G36" s="312"/>
    </row>
    <row r="37" spans="1:10" x14ac:dyDescent="0.3">
      <c r="A37" s="136"/>
      <c r="B37" s="377" t="s">
        <v>26</v>
      </c>
      <c r="C37" s="392" t="s">
        <v>10</v>
      </c>
      <c r="D37" s="9">
        <v>1</v>
      </c>
      <c r="E37" s="32">
        <v>1</v>
      </c>
      <c r="F37" s="215"/>
      <c r="G37" s="309">
        <f t="shared" ref="G37:G44" si="0">D37*E37*F37</f>
        <v>0</v>
      </c>
    </row>
    <row r="38" spans="1:10" x14ac:dyDescent="0.3">
      <c r="A38" s="145"/>
      <c r="B38" s="424" t="s">
        <v>54</v>
      </c>
      <c r="C38" s="392" t="s">
        <v>10</v>
      </c>
      <c r="D38" s="36">
        <v>1</v>
      </c>
      <c r="E38" s="37">
        <v>1.5</v>
      </c>
      <c r="F38" s="215"/>
      <c r="G38" s="309">
        <f t="shared" si="0"/>
        <v>0</v>
      </c>
    </row>
    <row r="39" spans="1:10" s="165" customFormat="1" x14ac:dyDescent="0.3">
      <c r="A39" s="145"/>
      <c r="B39" s="424" t="s">
        <v>178</v>
      </c>
      <c r="C39" s="392" t="s">
        <v>10</v>
      </c>
      <c r="D39" s="36">
        <v>1</v>
      </c>
      <c r="E39" s="37">
        <v>1</v>
      </c>
      <c r="F39" s="215"/>
      <c r="G39" s="309">
        <f t="shared" si="0"/>
        <v>0</v>
      </c>
      <c r="H39" s="236"/>
      <c r="I39" s="236"/>
      <c r="J39" s="236"/>
    </row>
    <row r="40" spans="1:10" s="165" customFormat="1" x14ac:dyDescent="0.3">
      <c r="A40" s="145"/>
      <c r="B40" s="424" t="s">
        <v>55</v>
      </c>
      <c r="C40" s="392" t="s">
        <v>10</v>
      </c>
      <c r="D40" s="36">
        <v>1</v>
      </c>
      <c r="E40" s="37">
        <v>1</v>
      </c>
      <c r="F40" s="215"/>
      <c r="G40" s="309">
        <f t="shared" si="0"/>
        <v>0</v>
      </c>
      <c r="H40" s="236"/>
      <c r="I40" s="236"/>
      <c r="J40" s="236"/>
    </row>
    <row r="41" spans="1:10" s="165" customFormat="1" x14ac:dyDescent="0.3">
      <c r="A41" s="136"/>
      <c r="B41" s="377" t="s">
        <v>56</v>
      </c>
      <c r="C41" s="392" t="s">
        <v>10</v>
      </c>
      <c r="D41" s="9">
        <v>12</v>
      </c>
      <c r="E41" s="32">
        <v>1</v>
      </c>
      <c r="F41" s="487"/>
      <c r="G41" s="309">
        <f t="shared" si="0"/>
        <v>0</v>
      </c>
      <c r="H41" s="236"/>
      <c r="I41" s="236"/>
      <c r="J41" s="236"/>
    </row>
    <row r="42" spans="1:10" s="165" customFormat="1" x14ac:dyDescent="0.3">
      <c r="A42" s="136"/>
      <c r="B42" s="377" t="s">
        <v>57</v>
      </c>
      <c r="C42" s="392" t="s">
        <v>10</v>
      </c>
      <c r="D42" s="9">
        <v>15</v>
      </c>
      <c r="E42" s="32">
        <v>1</v>
      </c>
      <c r="F42" s="487"/>
      <c r="G42" s="309">
        <f t="shared" si="0"/>
        <v>0</v>
      </c>
      <c r="H42" s="236"/>
      <c r="I42" s="236"/>
      <c r="J42" s="236"/>
    </row>
    <row r="43" spans="1:10" x14ac:dyDescent="0.3">
      <c r="A43" s="136"/>
      <c r="B43" s="377" t="s">
        <v>58</v>
      </c>
      <c r="C43" s="392" t="s">
        <v>10</v>
      </c>
      <c r="D43" s="9">
        <v>1</v>
      </c>
      <c r="E43" s="32">
        <v>1</v>
      </c>
      <c r="F43" s="487"/>
      <c r="G43" s="309">
        <f t="shared" si="0"/>
        <v>0</v>
      </c>
    </row>
    <row r="44" spans="1:10" x14ac:dyDescent="0.3">
      <c r="A44" s="239"/>
      <c r="B44" s="425" t="s">
        <v>59</v>
      </c>
      <c r="C44" s="392" t="s">
        <v>10</v>
      </c>
      <c r="D44" s="9">
        <v>15</v>
      </c>
      <c r="E44" s="240">
        <v>1</v>
      </c>
      <c r="F44" s="488"/>
      <c r="G44" s="498">
        <f t="shared" si="0"/>
        <v>0</v>
      </c>
    </row>
    <row r="45" spans="1:10" x14ac:dyDescent="0.3">
      <c r="A45" s="136"/>
      <c r="B45" s="426"/>
      <c r="C45" s="32"/>
      <c r="D45" s="9"/>
      <c r="E45" s="32"/>
      <c r="F45" s="215"/>
      <c r="G45" s="309"/>
    </row>
    <row r="46" spans="1:10" x14ac:dyDescent="0.3">
      <c r="A46" s="136">
        <v>3</v>
      </c>
      <c r="B46" s="427" t="s">
        <v>60</v>
      </c>
      <c r="C46" s="154"/>
      <c r="D46" s="9"/>
      <c r="E46" s="32"/>
      <c r="F46" s="489"/>
      <c r="G46" s="309"/>
    </row>
    <row r="47" spans="1:10" x14ac:dyDescent="0.3">
      <c r="A47" s="136"/>
      <c r="B47" s="377" t="s">
        <v>28</v>
      </c>
      <c r="C47" s="392" t="s">
        <v>370</v>
      </c>
      <c r="D47" s="9">
        <v>1</v>
      </c>
      <c r="E47" s="32">
        <v>1</v>
      </c>
      <c r="F47" s="490"/>
      <c r="G47" s="309">
        <f>D47*E47*F47</f>
        <v>0</v>
      </c>
    </row>
    <row r="48" spans="1:10" x14ac:dyDescent="0.3">
      <c r="A48" s="136"/>
      <c r="B48" s="377" t="s">
        <v>29</v>
      </c>
      <c r="C48" s="392"/>
      <c r="D48" s="9">
        <v>1</v>
      </c>
      <c r="E48" s="32">
        <v>1</v>
      </c>
      <c r="F48" s="490"/>
      <c r="G48" s="309">
        <f>D48*E48*F48</f>
        <v>0</v>
      </c>
    </row>
    <row r="49" spans="1:13" s="537" customFormat="1" x14ac:dyDescent="0.3">
      <c r="A49" s="534"/>
      <c r="B49" s="594" t="s">
        <v>296</v>
      </c>
      <c r="C49" s="577" t="s">
        <v>371</v>
      </c>
      <c r="D49" s="577">
        <v>1</v>
      </c>
      <c r="E49" s="577">
        <v>1</v>
      </c>
      <c r="F49" s="595">
        <v>4500000</v>
      </c>
      <c r="G49" s="583">
        <f>D49*E49*F49</f>
        <v>4500000</v>
      </c>
      <c r="H49" s="535"/>
      <c r="I49" s="536">
        <f>4500000+91836</f>
        <v>4591836</v>
      </c>
      <c r="J49" s="537" t="s">
        <v>318</v>
      </c>
      <c r="K49" s="537" t="s">
        <v>319</v>
      </c>
      <c r="L49" s="538">
        <v>45968</v>
      </c>
      <c r="M49" s="537" t="s">
        <v>367</v>
      </c>
    </row>
    <row r="50" spans="1:13" x14ac:dyDescent="0.3">
      <c r="A50" s="136"/>
      <c r="B50" s="137"/>
      <c r="C50" s="436"/>
      <c r="D50" s="9"/>
      <c r="E50" s="32"/>
      <c r="F50" s="490"/>
      <c r="G50" s="309"/>
    </row>
    <row r="51" spans="1:13" x14ac:dyDescent="0.3">
      <c r="A51" s="136"/>
      <c r="B51" s="428" t="s">
        <v>61</v>
      </c>
      <c r="C51" s="154"/>
      <c r="D51" s="9"/>
      <c r="E51" s="32"/>
      <c r="F51" s="491"/>
      <c r="G51" s="309"/>
    </row>
    <row r="52" spans="1:13" s="165" customFormat="1" x14ac:dyDescent="0.3">
      <c r="A52" s="136"/>
      <c r="B52" s="377" t="s">
        <v>180</v>
      </c>
      <c r="C52" s="392" t="s">
        <v>10</v>
      </c>
      <c r="D52" s="9">
        <v>1</v>
      </c>
      <c r="E52" s="32">
        <v>1</v>
      </c>
      <c r="F52" s="491">
        <f>I52</f>
        <v>15384615</v>
      </c>
      <c r="G52" s="309">
        <f>D52*E52*F52</f>
        <v>15384615</v>
      </c>
      <c r="H52" s="236"/>
      <c r="I52" s="236">
        <f>15000000+384615</f>
        <v>15384615</v>
      </c>
      <c r="J52" s="236" t="s">
        <v>138</v>
      </c>
      <c r="K52" s="165" t="s">
        <v>324</v>
      </c>
      <c r="L52" s="531">
        <v>45968</v>
      </c>
    </row>
    <row r="53" spans="1:13" s="165" customFormat="1" x14ac:dyDescent="0.3">
      <c r="A53" s="136"/>
      <c r="B53" s="377" t="s">
        <v>179</v>
      </c>
      <c r="C53" s="392" t="s">
        <v>10</v>
      </c>
      <c r="D53" s="9">
        <v>1</v>
      </c>
      <c r="E53" s="9">
        <v>1</v>
      </c>
      <c r="F53" s="301"/>
      <c r="G53" s="309">
        <f>D53*E53*F53</f>
        <v>0</v>
      </c>
      <c r="H53" s="236"/>
      <c r="I53" s="236"/>
      <c r="J53" s="236"/>
    </row>
    <row r="54" spans="1:13" s="165" customFormat="1" x14ac:dyDescent="0.3">
      <c r="A54" s="136"/>
      <c r="B54" s="377" t="s">
        <v>256</v>
      </c>
      <c r="C54" s="392" t="s">
        <v>10</v>
      </c>
      <c r="D54" s="36">
        <v>1</v>
      </c>
      <c r="E54" s="9">
        <v>1</v>
      </c>
      <c r="F54" s="301">
        <v>7500000</v>
      </c>
      <c r="G54" s="309">
        <f>D54*E54*F54</f>
        <v>7500000</v>
      </c>
      <c r="H54" s="236"/>
      <c r="I54" s="236"/>
      <c r="J54" s="236"/>
    </row>
    <row r="55" spans="1:13" s="165" customFormat="1" x14ac:dyDescent="0.3">
      <c r="A55" s="136"/>
      <c r="B55" s="429" t="s">
        <v>255</v>
      </c>
      <c r="C55" s="392" t="s">
        <v>10</v>
      </c>
      <c r="D55" s="36">
        <v>1</v>
      </c>
      <c r="E55" s="9">
        <v>1</v>
      </c>
      <c r="F55" s="301">
        <f>I55</f>
        <v>7692307</v>
      </c>
      <c r="G55" s="309">
        <f>D55*E55*F55</f>
        <v>7692307</v>
      </c>
      <c r="H55" s="236"/>
      <c r="I55" s="236">
        <f>7500000+192307</f>
        <v>7692307</v>
      </c>
      <c r="J55" s="236" t="s">
        <v>138</v>
      </c>
      <c r="K55" s="165" t="s">
        <v>311</v>
      </c>
      <c r="L55" s="531">
        <v>45968</v>
      </c>
    </row>
    <row r="56" spans="1:13" x14ac:dyDescent="0.3">
      <c r="A56" s="136"/>
      <c r="B56" s="430"/>
      <c r="C56" s="419"/>
      <c r="D56" s="36"/>
      <c r="E56" s="9"/>
      <c r="F56" s="301"/>
      <c r="G56" s="309"/>
    </row>
    <row r="57" spans="1:13" s="165" customFormat="1" x14ac:dyDescent="0.3">
      <c r="A57" s="136"/>
      <c r="B57" s="183" t="s">
        <v>224</v>
      </c>
      <c r="C57" s="392" t="s">
        <v>10</v>
      </c>
      <c r="D57" s="9">
        <v>1</v>
      </c>
      <c r="E57" s="10">
        <v>1</v>
      </c>
      <c r="F57" s="222">
        <v>72500000</v>
      </c>
      <c r="G57" s="309">
        <f>D57*E57*F57</f>
        <v>72500000</v>
      </c>
      <c r="H57" s="236"/>
      <c r="I57" s="236">
        <f>66000000+1346938</f>
        <v>67346938</v>
      </c>
      <c r="J57" s="236" t="s">
        <v>316</v>
      </c>
      <c r="K57" s="165" t="s">
        <v>317</v>
      </c>
      <c r="L57" s="531">
        <v>45968</v>
      </c>
    </row>
    <row r="58" spans="1:13" s="165" customFormat="1" x14ac:dyDescent="0.3">
      <c r="A58" s="136"/>
      <c r="B58" s="183"/>
      <c r="C58" s="392"/>
      <c r="D58" s="9"/>
      <c r="E58" s="10"/>
      <c r="F58" s="222"/>
      <c r="G58" s="309"/>
      <c r="H58" s="236"/>
      <c r="I58" s="236"/>
      <c r="J58" s="236"/>
    </row>
    <row r="59" spans="1:13" x14ac:dyDescent="0.3">
      <c r="A59" s="136"/>
      <c r="B59" s="183" t="s">
        <v>62</v>
      </c>
      <c r="C59" s="392" t="s">
        <v>10</v>
      </c>
      <c r="D59" s="9">
        <v>1</v>
      </c>
      <c r="E59" s="10">
        <v>1</v>
      </c>
      <c r="F59" s="222">
        <v>4500000</v>
      </c>
      <c r="G59" s="309">
        <f>D59*E59*F59</f>
        <v>4500000</v>
      </c>
    </row>
    <row r="60" spans="1:13" x14ac:dyDescent="0.3">
      <c r="A60" s="136"/>
      <c r="B60" s="183" t="s">
        <v>63</v>
      </c>
      <c r="C60" s="392" t="s">
        <v>10</v>
      </c>
      <c r="D60" s="9">
        <v>1</v>
      </c>
      <c r="E60" s="10">
        <v>1</v>
      </c>
      <c r="F60" s="222">
        <v>5000000</v>
      </c>
      <c r="G60" s="309">
        <f>D60*E60*F60</f>
        <v>5000000</v>
      </c>
    </row>
    <row r="61" spans="1:13" x14ac:dyDescent="0.3">
      <c r="A61" s="136"/>
      <c r="B61" s="183"/>
      <c r="C61" s="392"/>
      <c r="D61" s="9"/>
      <c r="E61" s="10"/>
      <c r="F61" s="222"/>
      <c r="G61" s="310"/>
    </row>
    <row r="62" spans="1:13" s="165" customFormat="1" x14ac:dyDescent="0.3">
      <c r="A62" s="136"/>
      <c r="B62" s="188" t="s">
        <v>225</v>
      </c>
      <c r="C62" s="392" t="s">
        <v>10</v>
      </c>
      <c r="D62" s="36">
        <v>6</v>
      </c>
      <c r="E62" s="42">
        <v>1</v>
      </c>
      <c r="F62" s="207"/>
      <c r="G62" s="309">
        <f>D62*E62*F62</f>
        <v>0</v>
      </c>
      <c r="H62" s="236"/>
      <c r="I62" s="236"/>
      <c r="J62" s="236"/>
    </row>
    <row r="63" spans="1:13" s="165" customFormat="1" x14ac:dyDescent="0.3">
      <c r="A63" s="145"/>
      <c r="B63" s="188" t="s">
        <v>226</v>
      </c>
      <c r="C63" s="392" t="s">
        <v>10</v>
      </c>
      <c r="D63" s="36">
        <v>4</v>
      </c>
      <c r="E63" s="36">
        <v>1</v>
      </c>
      <c r="F63" s="492"/>
      <c r="G63" s="309">
        <f>D63*E63*F63</f>
        <v>0</v>
      </c>
      <c r="H63" s="236"/>
      <c r="I63" s="236"/>
      <c r="J63" s="236"/>
    </row>
    <row r="64" spans="1:13" x14ac:dyDescent="0.3">
      <c r="A64" s="136"/>
      <c r="B64" s="183"/>
      <c r="C64" s="392"/>
      <c r="D64" s="9"/>
      <c r="E64" s="10"/>
      <c r="F64" s="222"/>
      <c r="G64" s="310"/>
    </row>
    <row r="65" spans="1:13" x14ac:dyDescent="0.3">
      <c r="A65" s="135">
        <v>4</v>
      </c>
      <c r="B65" s="30" t="s">
        <v>64</v>
      </c>
      <c r="C65" s="389"/>
      <c r="D65" s="36"/>
      <c r="E65" s="42"/>
      <c r="F65" s="207"/>
      <c r="G65" s="313"/>
    </row>
    <row r="66" spans="1:13" x14ac:dyDescent="0.3">
      <c r="A66" s="551"/>
      <c r="B66" s="552" t="s">
        <v>65</v>
      </c>
      <c r="C66" s="553" t="s">
        <v>372</v>
      </c>
      <c r="D66" s="554">
        <v>1</v>
      </c>
      <c r="E66" s="554">
        <v>1</v>
      </c>
      <c r="F66" s="555">
        <v>2500000</v>
      </c>
      <c r="G66" s="498">
        <f>D66*E66*F66</f>
        <v>2500000</v>
      </c>
      <c r="L66" t="s">
        <v>333</v>
      </c>
      <c r="M66">
        <f>6500000-5250000</f>
        <v>1250000</v>
      </c>
    </row>
    <row r="67" spans="1:13" s="165" customFormat="1" x14ac:dyDescent="0.3">
      <c r="A67" s="145"/>
      <c r="B67" s="188" t="s">
        <v>228</v>
      </c>
      <c r="C67" s="605" t="s">
        <v>373</v>
      </c>
      <c r="D67" s="36">
        <v>1</v>
      </c>
      <c r="E67" s="42">
        <v>1</v>
      </c>
      <c r="F67" s="606">
        <v>31000000</v>
      </c>
      <c r="G67" s="309">
        <f>D67*E67*F67</f>
        <v>31000000</v>
      </c>
      <c r="H67" s="236" t="s">
        <v>374</v>
      </c>
      <c r="I67" s="166"/>
      <c r="J67" s="166"/>
      <c r="K67"/>
      <c r="L67"/>
    </row>
    <row r="68" spans="1:13" s="165" customFormat="1" x14ac:dyDescent="0.3">
      <c r="A68" s="145"/>
      <c r="B68" s="188" t="s">
        <v>227</v>
      </c>
      <c r="C68" s="605"/>
      <c r="D68" s="36">
        <v>1</v>
      </c>
      <c r="E68" s="42">
        <v>1</v>
      </c>
      <c r="F68" s="606"/>
      <c r="G68" s="309">
        <f>D68*E68*F68</f>
        <v>0</v>
      </c>
      <c r="H68" s="236"/>
      <c r="I68" s="236"/>
      <c r="J68" s="236"/>
    </row>
    <row r="69" spans="1:13" x14ac:dyDescent="0.3">
      <c r="A69" s="145"/>
      <c r="B69" s="188"/>
      <c r="C69" s="409"/>
      <c r="D69" s="36"/>
      <c r="E69" s="42"/>
      <c r="F69" s="207"/>
      <c r="G69" s="313"/>
    </row>
    <row r="70" spans="1:13" x14ac:dyDescent="0.3">
      <c r="A70" s="135">
        <v>5</v>
      </c>
      <c r="B70" s="30" t="s">
        <v>66</v>
      </c>
      <c r="C70" s="389"/>
      <c r="D70" s="3"/>
      <c r="E70" s="3"/>
      <c r="F70" s="218"/>
      <c r="G70" s="314"/>
    </row>
    <row r="71" spans="1:13" x14ac:dyDescent="0.3">
      <c r="A71" s="135"/>
      <c r="B71" s="128" t="s">
        <v>243</v>
      </c>
      <c r="C71" s="392" t="s">
        <v>10</v>
      </c>
      <c r="D71" s="3">
        <v>1</v>
      </c>
      <c r="E71" s="3">
        <v>1</v>
      </c>
      <c r="F71" s="218"/>
      <c r="G71" s="309">
        <f>D71*E71*F71</f>
        <v>0</v>
      </c>
    </row>
    <row r="72" spans="1:13" x14ac:dyDescent="0.3">
      <c r="A72" s="146"/>
      <c r="B72" s="128"/>
      <c r="C72" s="407"/>
      <c r="D72" s="3"/>
      <c r="E72" s="3"/>
      <c r="F72" s="218"/>
      <c r="G72" s="314"/>
    </row>
    <row r="73" spans="1:13" x14ac:dyDescent="0.3">
      <c r="A73" s="139">
        <v>6</v>
      </c>
      <c r="B73" s="431" t="s">
        <v>35</v>
      </c>
      <c r="C73" s="474"/>
      <c r="D73" s="9"/>
      <c r="E73" s="9"/>
      <c r="F73" s="222"/>
      <c r="G73" s="314"/>
    </row>
    <row r="74" spans="1:13" x14ac:dyDescent="0.3">
      <c r="A74" s="139"/>
      <c r="B74" s="432" t="s">
        <v>241</v>
      </c>
      <c r="C74" s="512" t="s">
        <v>10</v>
      </c>
      <c r="D74" s="9"/>
      <c r="E74" s="9"/>
      <c r="F74" s="294"/>
      <c r="G74" s="314"/>
      <c r="J74" s="237"/>
    </row>
    <row r="75" spans="1:13" x14ac:dyDescent="0.3">
      <c r="A75" s="147"/>
      <c r="B75" s="442" t="s">
        <v>229</v>
      </c>
      <c r="D75" s="45">
        <v>1</v>
      </c>
      <c r="E75" s="45">
        <v>1.5</v>
      </c>
      <c r="F75" s="493"/>
      <c r="G75" s="309">
        <f>D75*E75*F75</f>
        <v>0</v>
      </c>
      <c r="I75" s="238"/>
      <c r="J75"/>
    </row>
    <row r="76" spans="1:13" x14ac:dyDescent="0.3">
      <c r="A76" s="147"/>
      <c r="B76" s="442" t="s">
        <v>182</v>
      </c>
      <c r="D76" s="45">
        <v>2</v>
      </c>
      <c r="E76" s="45">
        <v>1.5</v>
      </c>
      <c r="F76" s="493"/>
      <c r="G76" s="309">
        <f>D76*E76*F76</f>
        <v>0</v>
      </c>
      <c r="I76" s="238"/>
      <c r="J76"/>
    </row>
    <row r="77" spans="1:13" x14ac:dyDescent="0.3">
      <c r="A77" s="147"/>
      <c r="B77" s="442" t="s">
        <v>69</v>
      </c>
      <c r="D77" s="610">
        <v>1</v>
      </c>
      <c r="E77" s="610">
        <v>1</v>
      </c>
      <c r="F77" s="609"/>
      <c r="G77" s="608">
        <f>D77*E77*F77</f>
        <v>0</v>
      </c>
      <c r="I77" s="238"/>
      <c r="J77"/>
    </row>
    <row r="78" spans="1:13" x14ac:dyDescent="0.3">
      <c r="A78" s="147"/>
      <c r="B78" s="442" t="s">
        <v>230</v>
      </c>
      <c r="D78" s="610"/>
      <c r="E78" s="610"/>
      <c r="F78" s="609"/>
      <c r="G78" s="608"/>
      <c r="I78" s="238"/>
      <c r="J78"/>
    </row>
    <row r="79" spans="1:13" x14ac:dyDescent="0.3">
      <c r="A79" s="147"/>
      <c r="B79" s="442" t="s">
        <v>242</v>
      </c>
      <c r="D79" s="610"/>
      <c r="E79" s="610"/>
      <c r="F79" s="609"/>
      <c r="G79" s="608"/>
      <c r="I79" s="238"/>
      <c r="J79"/>
    </row>
    <row r="80" spans="1:13" x14ac:dyDescent="0.3">
      <c r="A80" s="147"/>
      <c r="B80" s="442"/>
      <c r="D80" s="45"/>
      <c r="E80" s="45"/>
      <c r="F80" s="222"/>
      <c r="G80" s="309"/>
      <c r="I80" s="238"/>
      <c r="J80"/>
    </row>
    <row r="81" spans="1:10" s="165" customFormat="1" ht="16.5" customHeight="1" x14ac:dyDescent="0.3">
      <c r="A81" s="138"/>
      <c r="B81" s="171" t="s">
        <v>279</v>
      </c>
      <c r="C81" s="40"/>
      <c r="D81" s="3"/>
      <c r="E81" s="3"/>
      <c r="F81" s="40"/>
      <c r="G81" s="529"/>
      <c r="H81" s="524"/>
      <c r="I81" s="526"/>
    </row>
    <row r="82" spans="1:10" s="165" customFormat="1" x14ac:dyDescent="0.3">
      <c r="A82" s="147"/>
      <c r="B82" s="442" t="s">
        <v>290</v>
      </c>
      <c r="C82" s="514" t="s">
        <v>10</v>
      </c>
      <c r="D82" s="45">
        <v>1</v>
      </c>
      <c r="E82" s="45">
        <v>1</v>
      </c>
      <c r="F82" s="241"/>
      <c r="G82" s="309">
        <f>+D82*E82*F82</f>
        <v>0</v>
      </c>
      <c r="H82" s="525"/>
      <c r="I82" s="236"/>
      <c r="J82" s="453"/>
    </row>
    <row r="83" spans="1:10" s="165" customFormat="1" x14ac:dyDescent="0.3">
      <c r="A83" s="147"/>
      <c r="B83" s="442" t="s">
        <v>291</v>
      </c>
      <c r="C83" s="514"/>
      <c r="D83" s="45"/>
      <c r="E83" s="45"/>
      <c r="F83" s="494"/>
      <c r="G83" s="309"/>
      <c r="H83" s="525"/>
      <c r="I83" s="236"/>
      <c r="J83" s="453"/>
    </row>
    <row r="84" spans="1:10" s="165" customFormat="1" x14ac:dyDescent="0.3">
      <c r="A84" s="139"/>
      <c r="B84" s="52" t="s">
        <v>89</v>
      </c>
      <c r="C84" s="10" t="s">
        <v>10</v>
      </c>
      <c r="D84" s="9">
        <v>1</v>
      </c>
      <c r="E84" s="10">
        <v>1</v>
      </c>
      <c r="F84" s="10"/>
      <c r="G84" s="530"/>
      <c r="H84" s="525"/>
      <c r="I84" s="526"/>
    </row>
    <row r="85" spans="1:10" x14ac:dyDescent="0.3">
      <c r="A85" s="147"/>
      <c r="B85" s="443" t="s">
        <v>231</v>
      </c>
      <c r="D85" s="45">
        <v>1</v>
      </c>
      <c r="E85" s="45">
        <v>1.5</v>
      </c>
      <c r="F85" s="494"/>
      <c r="G85" s="309">
        <f t="shared" ref="G85:G90" si="1">D85*E85*F85</f>
        <v>0</v>
      </c>
      <c r="I85" s="238"/>
      <c r="J85"/>
    </row>
    <row r="86" spans="1:10" x14ac:dyDescent="0.3">
      <c r="A86" s="148"/>
      <c r="B86" s="443" t="s">
        <v>232</v>
      </c>
      <c r="D86" s="41">
        <v>1</v>
      </c>
      <c r="E86" s="41">
        <v>1.5</v>
      </c>
      <c r="F86" s="302"/>
      <c r="G86" s="309">
        <f t="shared" si="1"/>
        <v>0</v>
      </c>
      <c r="I86" s="238"/>
      <c r="J86"/>
    </row>
    <row r="87" spans="1:10" x14ac:dyDescent="0.3">
      <c r="A87" s="148"/>
      <c r="B87" s="443" t="s">
        <v>252</v>
      </c>
      <c r="D87" s="41">
        <v>1</v>
      </c>
      <c r="E87" s="41">
        <v>1</v>
      </c>
      <c r="F87" s="302"/>
      <c r="G87" s="309">
        <f t="shared" si="1"/>
        <v>0</v>
      </c>
      <c r="I87" s="238"/>
      <c r="J87"/>
    </row>
    <row r="88" spans="1:10" x14ac:dyDescent="0.3">
      <c r="A88" s="147"/>
      <c r="B88" s="443" t="s">
        <v>233</v>
      </c>
      <c r="D88" s="45">
        <v>1</v>
      </c>
      <c r="E88" s="45">
        <v>1.5</v>
      </c>
      <c r="F88" s="495"/>
      <c r="G88" s="309">
        <f t="shared" si="1"/>
        <v>0</v>
      </c>
      <c r="I88" s="238"/>
      <c r="J88"/>
    </row>
    <row r="89" spans="1:10" x14ac:dyDescent="0.3">
      <c r="A89" s="147"/>
      <c r="B89" s="443" t="s">
        <v>67</v>
      </c>
      <c r="D89" s="45">
        <v>2</v>
      </c>
      <c r="E89" s="45">
        <v>1.5</v>
      </c>
      <c r="F89" s="495"/>
      <c r="G89" s="309">
        <f t="shared" si="1"/>
        <v>0</v>
      </c>
      <c r="I89" s="238"/>
      <c r="J89"/>
    </row>
    <row r="90" spans="1:10" x14ac:dyDescent="0.3">
      <c r="A90" s="147"/>
      <c r="B90" s="434" t="s">
        <v>37</v>
      </c>
      <c r="C90" s="475"/>
      <c r="D90" s="45">
        <v>2</v>
      </c>
      <c r="E90" s="45">
        <v>1.5</v>
      </c>
      <c r="F90" s="494"/>
      <c r="G90" s="309">
        <f t="shared" si="1"/>
        <v>0</v>
      </c>
      <c r="J90"/>
    </row>
    <row r="91" spans="1:10" x14ac:dyDescent="0.3">
      <c r="A91" s="147"/>
      <c r="B91" s="434" t="s">
        <v>307</v>
      </c>
      <c r="C91" s="475"/>
      <c r="D91" s="45">
        <v>1</v>
      </c>
      <c r="E91" s="45">
        <v>1</v>
      </c>
      <c r="F91" s="494"/>
      <c r="G91" s="309">
        <f t="shared" ref="G91" si="2">D91*E91*F91</f>
        <v>0</v>
      </c>
      <c r="J91"/>
    </row>
    <row r="92" spans="1:10" x14ac:dyDescent="0.3">
      <c r="A92" s="147"/>
      <c r="B92" s="434"/>
      <c r="C92" s="475"/>
      <c r="D92" s="438"/>
      <c r="E92" s="46"/>
      <c r="F92" s="496"/>
      <c r="G92" s="499"/>
    </row>
    <row r="93" spans="1:10" x14ac:dyDescent="0.3">
      <c r="A93" s="147">
        <v>7</v>
      </c>
      <c r="B93" s="435" t="s">
        <v>68</v>
      </c>
      <c r="C93" s="439"/>
      <c r="D93" s="45"/>
      <c r="E93" s="45"/>
      <c r="F93" s="494"/>
      <c r="G93" s="309"/>
    </row>
    <row r="94" spans="1:10" s="165" customFormat="1" x14ac:dyDescent="0.3">
      <c r="A94" s="147"/>
      <c r="B94" s="433" t="s">
        <v>186</v>
      </c>
      <c r="C94" s="392" t="s">
        <v>10</v>
      </c>
      <c r="D94" s="45">
        <v>2</v>
      </c>
      <c r="E94" s="45">
        <v>1</v>
      </c>
      <c r="F94" s="495"/>
      <c r="G94" s="309">
        <f>D94*E94*F94</f>
        <v>0</v>
      </c>
      <c r="H94" s="236"/>
      <c r="I94" s="254"/>
      <c r="J94" s="236"/>
    </row>
    <row r="95" spans="1:10" s="165" customFormat="1" x14ac:dyDescent="0.3">
      <c r="A95" s="147"/>
      <c r="B95" s="178" t="s">
        <v>302</v>
      </c>
      <c r="C95" s="392" t="s">
        <v>10</v>
      </c>
      <c r="D95" s="36">
        <v>1</v>
      </c>
      <c r="E95" s="42">
        <v>1</v>
      </c>
      <c r="F95" s="527"/>
      <c r="G95" s="309">
        <f>D95*E95*F95</f>
        <v>0</v>
      </c>
      <c r="H95" s="236"/>
      <c r="I95" s="254"/>
      <c r="J95" s="236"/>
    </row>
    <row r="96" spans="1:10" s="165" customFormat="1" x14ac:dyDescent="0.3">
      <c r="A96" s="147"/>
      <c r="B96" s="433"/>
      <c r="C96" s="437"/>
      <c r="D96" s="496"/>
      <c r="E96" s="496"/>
      <c r="F96" s="528"/>
      <c r="G96" s="499"/>
      <c r="H96" s="236"/>
      <c r="I96" s="236"/>
      <c r="J96" s="236"/>
    </row>
    <row r="97" spans="1:11" x14ac:dyDescent="0.3">
      <c r="A97" s="139">
        <v>8</v>
      </c>
      <c r="B97" s="6" t="s">
        <v>38</v>
      </c>
      <c r="C97" s="395"/>
      <c r="D97" s="8"/>
      <c r="E97" s="8"/>
      <c r="F97" s="206"/>
      <c r="G97" s="312"/>
    </row>
    <row r="98" spans="1:11" x14ac:dyDescent="0.3">
      <c r="A98" s="139"/>
      <c r="B98" s="52" t="s">
        <v>70</v>
      </c>
      <c r="C98" s="394" t="s">
        <v>10</v>
      </c>
      <c r="D98" s="10">
        <v>1</v>
      </c>
      <c r="E98" s="10">
        <v>1</v>
      </c>
      <c r="F98" s="209"/>
      <c r="G98" s="309">
        <f t="shared" ref="G98:G101" si="3">D98*E98*F98</f>
        <v>0</v>
      </c>
    </row>
    <row r="99" spans="1:11" x14ac:dyDescent="0.3">
      <c r="A99" s="139"/>
      <c r="B99" s="52" t="s">
        <v>71</v>
      </c>
      <c r="C99" s="394" t="s">
        <v>10</v>
      </c>
      <c r="D99" s="10">
        <v>300</v>
      </c>
      <c r="E99" s="10">
        <v>1</v>
      </c>
      <c r="F99" s="209"/>
      <c r="G99" s="309">
        <f t="shared" si="3"/>
        <v>0</v>
      </c>
    </row>
    <row r="100" spans="1:11" s="542" customFormat="1" x14ac:dyDescent="0.3">
      <c r="A100" s="548"/>
      <c r="B100" s="584" t="s">
        <v>72</v>
      </c>
      <c r="C100" s="585" t="s">
        <v>10</v>
      </c>
      <c r="D100" s="576">
        <f>50+25</f>
        <v>75</v>
      </c>
      <c r="E100" s="576">
        <v>1</v>
      </c>
      <c r="F100" s="586"/>
      <c r="G100" s="583">
        <f t="shared" si="3"/>
        <v>0</v>
      </c>
      <c r="H100" s="541"/>
      <c r="I100" s="541"/>
      <c r="J100" s="541"/>
      <c r="K100" s="542" t="s">
        <v>362</v>
      </c>
    </row>
    <row r="101" spans="1:11" x14ac:dyDescent="0.3">
      <c r="A101" s="139"/>
      <c r="B101" s="52" t="s">
        <v>73</v>
      </c>
      <c r="C101" s="394" t="s">
        <v>10</v>
      </c>
      <c r="D101" s="10">
        <v>1</v>
      </c>
      <c r="E101" s="10">
        <v>1</v>
      </c>
      <c r="F101" s="209"/>
      <c r="G101" s="309">
        <f t="shared" si="3"/>
        <v>0</v>
      </c>
      <c r="K101" s="547" t="s">
        <v>344</v>
      </c>
    </row>
    <row r="102" spans="1:11" x14ac:dyDescent="0.3">
      <c r="A102" s="519"/>
      <c r="B102" s="556" t="s">
        <v>327</v>
      </c>
      <c r="C102" s="533" t="s">
        <v>181</v>
      </c>
      <c r="D102" s="168"/>
      <c r="E102" s="168"/>
      <c r="F102" s="557"/>
      <c r="G102" s="498"/>
    </row>
    <row r="103" spans="1:11" s="165" customFormat="1" x14ac:dyDescent="0.3">
      <c r="A103" s="139"/>
      <c r="B103" s="52"/>
      <c r="C103" s="394"/>
      <c r="D103" s="10"/>
      <c r="E103" s="10"/>
      <c r="F103" s="209"/>
      <c r="G103" s="309"/>
      <c r="H103" s="236"/>
      <c r="I103" s="236"/>
      <c r="J103" s="236"/>
    </row>
    <row r="104" spans="1:11" s="165" customFormat="1" x14ac:dyDescent="0.3">
      <c r="A104" s="136"/>
      <c r="B104" s="56" t="s">
        <v>328</v>
      </c>
      <c r="C104" s="394" t="s">
        <v>10</v>
      </c>
      <c r="D104" s="10">
        <v>1</v>
      </c>
      <c r="E104" s="10">
        <v>1</v>
      </c>
      <c r="F104" s="209">
        <v>500000</v>
      </c>
      <c r="G104" s="309">
        <f t="shared" ref="G104" si="4">D104*E104*F104</f>
        <v>500000</v>
      </c>
      <c r="H104" s="236"/>
      <c r="I104" s="236"/>
      <c r="J104" s="236"/>
    </row>
    <row r="105" spans="1:11" ht="15" thickBot="1" x14ac:dyDescent="0.35">
      <c r="A105" s="150"/>
      <c r="B105" s="151"/>
      <c r="C105" s="440"/>
      <c r="D105" s="152"/>
      <c r="E105" s="152"/>
      <c r="F105" s="497"/>
      <c r="G105" s="500"/>
    </row>
    <row r="106" spans="1:11" ht="15" thickBot="1" x14ac:dyDescent="0.35">
      <c r="A106" s="110"/>
      <c r="B106" s="54"/>
      <c r="C106" s="420"/>
      <c r="D106" s="54"/>
      <c r="E106" s="54"/>
      <c r="F106" s="54"/>
      <c r="G106" s="501">
        <f>SUM(G23:G105)</f>
        <v>151076922</v>
      </c>
      <c r="K106" s="165"/>
    </row>
    <row r="107" spans="1:11" x14ac:dyDescent="0.3">
      <c r="A107" s="15"/>
      <c r="B107" s="16" t="s">
        <v>11</v>
      </c>
      <c r="C107" s="400"/>
      <c r="D107" s="17"/>
      <c r="E107" s="17"/>
      <c r="F107" s="17"/>
      <c r="G107" s="502">
        <f>+G106</f>
        <v>151076922</v>
      </c>
    </row>
    <row r="108" spans="1:11" x14ac:dyDescent="0.3">
      <c r="A108" s="20"/>
      <c r="B108" s="21"/>
      <c r="C108" s="286"/>
      <c r="D108" s="22"/>
      <c r="E108" s="22"/>
      <c r="F108" s="22"/>
      <c r="G108" s="318"/>
    </row>
    <row r="109" spans="1:11" x14ac:dyDescent="0.3">
      <c r="A109" s="20"/>
      <c r="B109" s="21"/>
      <c r="C109" s="286"/>
      <c r="D109" s="22"/>
      <c r="E109" s="22"/>
      <c r="F109" s="22"/>
      <c r="G109" s="318"/>
    </row>
    <row r="110" spans="1:11" x14ac:dyDescent="0.3">
      <c r="A110" s="20"/>
      <c r="B110" s="21"/>
      <c r="C110" s="286"/>
      <c r="D110" s="22"/>
      <c r="E110" s="22"/>
      <c r="F110" s="22"/>
      <c r="G110" s="318"/>
    </row>
    <row r="111" spans="1:11" ht="15" thickBot="1" x14ac:dyDescent="0.35">
      <c r="A111" s="20"/>
      <c r="B111" s="21"/>
      <c r="C111" s="286"/>
      <c r="D111" s="22"/>
      <c r="E111" s="22"/>
      <c r="F111" s="22"/>
      <c r="G111" s="319"/>
    </row>
    <row r="113" spans="1:10" ht="15.6" x14ac:dyDescent="0.3">
      <c r="A113" s="320" t="s">
        <v>202</v>
      </c>
      <c r="B113" s="320"/>
      <c r="H113"/>
      <c r="I113"/>
      <c r="J113"/>
    </row>
    <row r="114" spans="1:10" ht="15.6" x14ac:dyDescent="0.3">
      <c r="A114" s="270">
        <v>1</v>
      </c>
      <c r="B114" s="321" t="s">
        <v>203</v>
      </c>
      <c r="H114"/>
      <c r="I114"/>
      <c r="J114"/>
    </row>
    <row r="115" spans="1:10" ht="15.6" x14ac:dyDescent="0.3">
      <c r="A115" s="270">
        <v>2</v>
      </c>
      <c r="B115" s="321" t="s">
        <v>204</v>
      </c>
      <c r="H115"/>
      <c r="I115"/>
      <c r="J115"/>
    </row>
    <row r="116" spans="1:10" ht="15.6" x14ac:dyDescent="0.3">
      <c r="A116" s="270">
        <v>3</v>
      </c>
      <c r="B116" s="321" t="s">
        <v>205</v>
      </c>
      <c r="H116"/>
      <c r="I116"/>
      <c r="J116"/>
    </row>
    <row r="117" spans="1:10" ht="15.6" x14ac:dyDescent="0.3">
      <c r="A117" s="270">
        <v>4</v>
      </c>
      <c r="B117" s="322" t="s">
        <v>206</v>
      </c>
      <c r="H117"/>
      <c r="I117"/>
      <c r="J117"/>
    </row>
    <row r="118" spans="1:10" ht="15.6" x14ac:dyDescent="0.3">
      <c r="A118" s="270"/>
      <c r="B118" s="323" t="s">
        <v>207</v>
      </c>
      <c r="H118"/>
      <c r="I118"/>
      <c r="J118"/>
    </row>
    <row r="119" spans="1:10" ht="15.6" x14ac:dyDescent="0.3">
      <c r="A119" s="270"/>
      <c r="B119" s="322" t="s">
        <v>208</v>
      </c>
      <c r="H119"/>
      <c r="I119"/>
      <c r="J119"/>
    </row>
    <row r="120" spans="1:10" ht="15.6" x14ac:dyDescent="0.3">
      <c r="A120" s="270"/>
      <c r="B120" s="321" t="s">
        <v>209</v>
      </c>
      <c r="H120"/>
      <c r="I120"/>
      <c r="J120"/>
    </row>
    <row r="121" spans="1:10" ht="15.6" x14ac:dyDescent="0.3">
      <c r="A121" s="270"/>
      <c r="B121" s="321" t="s">
        <v>210</v>
      </c>
      <c r="H121"/>
      <c r="I121"/>
      <c r="J121"/>
    </row>
    <row r="122" spans="1:10" ht="15.6" x14ac:dyDescent="0.3">
      <c r="A122" s="270"/>
      <c r="B122" s="321" t="s">
        <v>211</v>
      </c>
      <c r="H122"/>
      <c r="I122"/>
      <c r="J122"/>
    </row>
    <row r="123" spans="1:10" ht="15.6" x14ac:dyDescent="0.3">
      <c r="A123" s="270"/>
      <c r="B123" s="322" t="s">
        <v>212</v>
      </c>
      <c r="H123"/>
      <c r="I123"/>
      <c r="J123"/>
    </row>
    <row r="124" spans="1:10" x14ac:dyDescent="0.3">
      <c r="H124"/>
      <c r="I124"/>
      <c r="J124"/>
    </row>
    <row r="126" spans="1:10" ht="15.6" x14ac:dyDescent="0.3">
      <c r="B126" s="322" t="s">
        <v>213</v>
      </c>
      <c r="C126" s="401"/>
      <c r="D126" s="330"/>
      <c r="E126" s="330"/>
      <c r="F126" s="330"/>
      <c r="G126" s="331" t="s">
        <v>214</v>
      </c>
      <c r="H126"/>
      <c r="I126"/>
      <c r="J126"/>
    </row>
    <row r="127" spans="1:10" ht="15.6" x14ac:dyDescent="0.3">
      <c r="B127" s="323"/>
      <c r="C127" s="402"/>
      <c r="D127" s="330"/>
      <c r="E127" s="330"/>
      <c r="F127" s="330"/>
      <c r="G127" s="333"/>
      <c r="H127"/>
      <c r="I127"/>
      <c r="J127"/>
    </row>
    <row r="128" spans="1:10" ht="15.6" x14ac:dyDescent="0.3">
      <c r="B128" s="334"/>
      <c r="C128" s="403"/>
      <c r="D128" s="335"/>
      <c r="E128" s="330"/>
      <c r="F128" s="330"/>
      <c r="G128" s="333"/>
      <c r="H128"/>
      <c r="I128"/>
      <c r="J128"/>
    </row>
    <row r="129" spans="2:10" ht="15.6" x14ac:dyDescent="0.3">
      <c r="B129" s="334"/>
      <c r="C129" s="403"/>
      <c r="D129" s="335"/>
      <c r="E129" s="330"/>
      <c r="F129" s="330"/>
      <c r="G129" s="333"/>
      <c r="H129"/>
      <c r="I129"/>
      <c r="J129"/>
    </row>
    <row r="130" spans="2:10" ht="15.6" x14ac:dyDescent="0.3">
      <c r="B130" s="334"/>
      <c r="C130" s="403"/>
      <c r="D130" s="335"/>
      <c r="E130" s="330"/>
      <c r="F130" s="330"/>
      <c r="G130" s="333"/>
      <c r="H130"/>
      <c r="I130"/>
      <c r="J130"/>
    </row>
    <row r="131" spans="2:10" ht="15.6" x14ac:dyDescent="0.3">
      <c r="B131" s="272"/>
      <c r="C131" s="404"/>
      <c r="D131" s="335"/>
      <c r="E131" s="330"/>
      <c r="F131" s="330"/>
      <c r="G131" s="333"/>
      <c r="H131"/>
      <c r="I131"/>
      <c r="J131"/>
    </row>
    <row r="132" spans="2:10" ht="15.6" x14ac:dyDescent="0.3">
      <c r="B132" s="334"/>
      <c r="C132" s="403"/>
      <c r="D132" s="335"/>
      <c r="E132" s="335"/>
      <c r="F132" s="335"/>
      <c r="G132" s="333"/>
      <c r="H132"/>
      <c r="I132"/>
      <c r="J132"/>
    </row>
    <row r="133" spans="2:10" ht="15.6" x14ac:dyDescent="0.3">
      <c r="B133" s="336" t="s">
        <v>215</v>
      </c>
      <c r="C133" s="405"/>
      <c r="D133" s="335"/>
      <c r="E133" s="335"/>
      <c r="F133" s="335"/>
      <c r="G133" s="337" t="s">
        <v>216</v>
      </c>
      <c r="H133"/>
      <c r="I133"/>
      <c r="J133"/>
    </row>
    <row r="134" spans="2:10" ht="15.6" x14ac:dyDescent="0.3">
      <c r="B134" s="339" t="s">
        <v>217</v>
      </c>
      <c r="C134" s="405"/>
      <c r="D134" s="335"/>
      <c r="E134" s="335"/>
      <c r="F134" s="335"/>
      <c r="G134" s="337" t="s">
        <v>218</v>
      </c>
      <c r="H134"/>
      <c r="I134"/>
      <c r="J134"/>
    </row>
    <row r="135" spans="2:10" x14ac:dyDescent="0.3">
      <c r="D135" s="249"/>
      <c r="H135"/>
      <c r="I135"/>
      <c r="J135"/>
    </row>
    <row r="136" spans="2:10" x14ac:dyDescent="0.3">
      <c r="D136" s="249"/>
      <c r="H136"/>
      <c r="I136"/>
      <c r="J136"/>
    </row>
    <row r="137" spans="2:10" x14ac:dyDescent="0.3">
      <c r="D137" s="249"/>
      <c r="H137"/>
      <c r="I137"/>
      <c r="J137"/>
    </row>
    <row r="138" spans="2:10" x14ac:dyDescent="0.3">
      <c r="D138" s="249"/>
      <c r="H138"/>
      <c r="I138"/>
      <c r="J138"/>
    </row>
    <row r="139" spans="2:10" x14ac:dyDescent="0.3">
      <c r="D139" s="249"/>
      <c r="H139"/>
      <c r="I139"/>
      <c r="J139"/>
    </row>
    <row r="140" spans="2:10" x14ac:dyDescent="0.3">
      <c r="D140" s="249"/>
      <c r="H140"/>
      <c r="I140"/>
      <c r="J140"/>
    </row>
    <row r="141" spans="2:10" x14ac:dyDescent="0.3">
      <c r="D141" s="249"/>
      <c r="H141"/>
      <c r="I141"/>
      <c r="J141"/>
    </row>
    <row r="142" spans="2:10" x14ac:dyDescent="0.3">
      <c r="D142" s="249"/>
      <c r="H142"/>
      <c r="I142"/>
      <c r="J142"/>
    </row>
    <row r="143" spans="2:10" x14ac:dyDescent="0.3">
      <c r="D143" s="249"/>
      <c r="H143"/>
      <c r="I143"/>
      <c r="J143"/>
    </row>
    <row r="144" spans="2:10" x14ac:dyDescent="0.3">
      <c r="D144" s="249"/>
      <c r="H144"/>
      <c r="I144"/>
      <c r="J144"/>
    </row>
    <row r="145" spans="4:10" x14ac:dyDescent="0.3">
      <c r="D145" s="249"/>
      <c r="H145"/>
      <c r="I145"/>
      <c r="J145"/>
    </row>
  </sheetData>
  <mergeCells count="7">
    <mergeCell ref="C67:C68"/>
    <mergeCell ref="F67:F68"/>
    <mergeCell ref="F21:G21"/>
    <mergeCell ref="G77:G79"/>
    <mergeCell ref="F77:F79"/>
    <mergeCell ref="D77:D79"/>
    <mergeCell ref="E77:E79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3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D7470-598B-4C9A-A127-2EE9AAA2A8E9}">
  <sheetPr>
    <pageSetUpPr fitToPage="1"/>
  </sheetPr>
  <dimension ref="A2:S104"/>
  <sheetViews>
    <sheetView showGridLines="0" topLeftCell="A32" zoomScale="90" zoomScaleNormal="90" workbookViewId="0">
      <selection activeCell="A68" sqref="A68:XFD71"/>
    </sheetView>
  </sheetViews>
  <sheetFormatPr defaultRowHeight="14.4" x14ac:dyDescent="0.3"/>
  <cols>
    <col min="1" max="1" width="6.5546875" customWidth="1"/>
    <col min="2" max="2" width="68" customWidth="1"/>
    <col min="5" max="5" width="9" customWidth="1"/>
    <col min="6" max="6" width="16.109375" customWidth="1"/>
    <col min="7" max="7" width="17.109375" style="166" customWidth="1"/>
    <col min="11" max="11" width="13.33203125" style="166" bestFit="1" customWidth="1"/>
    <col min="12" max="12" width="11.109375" bestFit="1" customWidth="1"/>
    <col min="13" max="13" width="13.33203125" bestFit="1" customWidth="1"/>
  </cols>
  <sheetData>
    <row r="2" spans="1:11" x14ac:dyDescent="0.3">
      <c r="G2"/>
      <c r="H2" s="166"/>
      <c r="I2" s="166"/>
      <c r="J2" s="166"/>
    </row>
    <row r="3" spans="1:11" x14ac:dyDescent="0.3">
      <c r="G3"/>
    </row>
    <row r="4" spans="1:11" s="165" customFormat="1" x14ac:dyDescent="0.3">
      <c r="D4" s="275"/>
      <c r="K4" s="236"/>
    </row>
    <row r="5" spans="1:11" s="165" customFormat="1" x14ac:dyDescent="0.3">
      <c r="D5" s="275"/>
      <c r="K5" s="236"/>
    </row>
    <row r="6" spans="1:11" s="165" customFormat="1" x14ac:dyDescent="0.3">
      <c r="D6" s="275"/>
      <c r="G6" s="256" t="s">
        <v>10</v>
      </c>
      <c r="K6" s="236"/>
    </row>
    <row r="7" spans="1:11" s="165" customFormat="1" x14ac:dyDescent="0.3">
      <c r="D7" s="275"/>
      <c r="G7" s="256"/>
      <c r="K7" s="236"/>
    </row>
    <row r="8" spans="1:11" s="165" customFormat="1" x14ac:dyDescent="0.3">
      <c r="D8" s="275"/>
      <c r="G8" s="256"/>
      <c r="K8" s="236"/>
    </row>
    <row r="9" spans="1:11" s="165" customFormat="1" x14ac:dyDescent="0.3">
      <c r="D9" s="275"/>
      <c r="G9" s="256"/>
      <c r="K9" s="236"/>
    </row>
    <row r="10" spans="1:11" s="165" customFormat="1" x14ac:dyDescent="0.3">
      <c r="D10" s="275"/>
      <c r="G10" s="256"/>
      <c r="K10" s="236"/>
    </row>
    <row r="11" spans="1:11" s="165" customFormat="1" x14ac:dyDescent="0.3">
      <c r="D11" s="275"/>
      <c r="G11" s="256"/>
      <c r="K11" s="236"/>
    </row>
    <row r="12" spans="1:11" s="165" customFormat="1" x14ac:dyDescent="0.3">
      <c r="D12" s="275"/>
      <c r="G12" s="256"/>
      <c r="K12" s="236"/>
    </row>
    <row r="13" spans="1:11" s="165" customFormat="1" x14ac:dyDescent="0.3">
      <c r="D13" s="275"/>
      <c r="G13" s="340"/>
      <c r="K13" s="236"/>
    </row>
    <row r="14" spans="1:11" s="165" customFormat="1" ht="15.6" x14ac:dyDescent="0.3">
      <c r="A14" s="260" t="s">
        <v>189</v>
      </c>
      <c r="B14" s="261" t="s">
        <v>306</v>
      </c>
      <c r="C14" s="261"/>
      <c r="D14" s="343"/>
      <c r="E14" s="343"/>
      <c r="F14" s="276" t="s">
        <v>190</v>
      </c>
      <c r="G14" s="262" t="s">
        <v>191</v>
      </c>
      <c r="H14" s="264"/>
      <c r="I14" s="264"/>
      <c r="J14" s="264"/>
      <c r="K14" s="236"/>
    </row>
    <row r="15" spans="1:11" s="165" customFormat="1" ht="15.6" x14ac:dyDescent="0.3">
      <c r="A15" s="265" t="s">
        <v>192</v>
      </c>
      <c r="B15" s="266" t="s">
        <v>193</v>
      </c>
      <c r="C15" s="266"/>
      <c r="F15" s="277" t="s">
        <v>244</v>
      </c>
      <c r="G15" s="266" t="s">
        <v>257</v>
      </c>
      <c r="H15" s="264"/>
      <c r="I15" s="264"/>
      <c r="J15" s="264"/>
      <c r="K15" s="236"/>
    </row>
    <row r="16" spans="1:11" s="165" customFormat="1" ht="15.6" x14ac:dyDescent="0.3">
      <c r="A16" s="265" t="s">
        <v>194</v>
      </c>
      <c r="B16" s="266" t="s">
        <v>195</v>
      </c>
      <c r="C16" s="266"/>
      <c r="F16" s="277" t="s">
        <v>196</v>
      </c>
      <c r="G16" s="266" t="s">
        <v>246</v>
      </c>
      <c r="H16" s="264"/>
      <c r="I16" s="264"/>
      <c r="J16" s="264"/>
      <c r="K16" s="236"/>
    </row>
    <row r="17" spans="1:11" s="165" customFormat="1" ht="15.6" x14ac:dyDescent="0.3">
      <c r="A17" s="268" t="s">
        <v>197</v>
      </c>
      <c r="B17" s="266" t="s">
        <v>198</v>
      </c>
      <c r="C17" s="266"/>
      <c r="F17" s="277" t="s">
        <v>199</v>
      </c>
      <c r="G17" s="266" t="s">
        <v>248</v>
      </c>
      <c r="H17" s="264"/>
      <c r="I17" s="264"/>
      <c r="J17" s="264"/>
      <c r="K17" s="236"/>
    </row>
    <row r="18" spans="1:11" s="165" customFormat="1" ht="15.6" x14ac:dyDescent="0.3">
      <c r="A18" s="268"/>
      <c r="B18" s="266" t="s">
        <v>200</v>
      </c>
      <c r="C18" s="266"/>
      <c r="D18" s="270"/>
      <c r="E18" s="271"/>
      <c r="F18" s="272"/>
      <c r="G18" s="273"/>
      <c r="K18" s="236"/>
    </row>
    <row r="19" spans="1:11" s="165" customFormat="1" ht="15.6" x14ac:dyDescent="0.3">
      <c r="A19" s="268"/>
      <c r="B19" s="269" t="s">
        <v>201</v>
      </c>
      <c r="C19" s="269"/>
      <c r="D19" s="270"/>
      <c r="E19" s="271"/>
      <c r="F19" s="272"/>
      <c r="G19" s="274"/>
      <c r="K19" s="236"/>
    </row>
    <row r="20" spans="1:11" s="165" customFormat="1" x14ac:dyDescent="0.3">
      <c r="D20" s="275"/>
      <c r="G20" s="256"/>
      <c r="K20" s="236"/>
    </row>
    <row r="22" spans="1:11" ht="15" thickBot="1" x14ac:dyDescent="0.35">
      <c r="F22" s="607" t="s">
        <v>10</v>
      </c>
      <c r="G22" s="607"/>
    </row>
    <row r="23" spans="1:11" ht="16.2" thickBot="1" x14ac:dyDescent="0.35">
      <c r="A23" s="132" t="s">
        <v>0</v>
      </c>
      <c r="B23" s="133" t="s">
        <v>1</v>
      </c>
      <c r="C23" s="133" t="s">
        <v>2</v>
      </c>
      <c r="D23" s="133" t="s">
        <v>3</v>
      </c>
      <c r="E23" s="421" t="s">
        <v>4</v>
      </c>
      <c r="F23" s="485" t="s">
        <v>46</v>
      </c>
      <c r="G23" s="342" t="s">
        <v>11</v>
      </c>
      <c r="K23" s="166" t="s">
        <v>308</v>
      </c>
    </row>
    <row r="24" spans="1:11" x14ac:dyDescent="0.3">
      <c r="A24" s="134"/>
      <c r="B24" s="2"/>
      <c r="C24" s="3"/>
      <c r="D24" s="3"/>
      <c r="E24" s="3"/>
      <c r="F24" s="478"/>
      <c r="G24" s="308"/>
    </row>
    <row r="25" spans="1:11" x14ac:dyDescent="0.3">
      <c r="A25" s="144" t="s">
        <v>5</v>
      </c>
      <c r="B25" s="141" t="s">
        <v>6</v>
      </c>
      <c r="C25" s="3"/>
      <c r="D25" s="4"/>
      <c r="E25" s="4"/>
      <c r="F25" s="486"/>
      <c r="G25" s="311"/>
    </row>
    <row r="26" spans="1:11" x14ac:dyDescent="0.3">
      <c r="A26" s="135"/>
      <c r="B26" s="29" t="s">
        <v>8</v>
      </c>
      <c r="C26" s="3"/>
      <c r="D26" s="4"/>
      <c r="E26" s="5"/>
      <c r="F26" s="486"/>
      <c r="G26" s="311"/>
    </row>
    <row r="27" spans="1:11" x14ac:dyDescent="0.3">
      <c r="A27" s="136"/>
      <c r="B27" s="31"/>
      <c r="C27" s="9"/>
      <c r="D27" s="9"/>
      <c r="E27" s="10"/>
      <c r="F27" s="207"/>
      <c r="G27" s="309"/>
    </row>
    <row r="28" spans="1:11" x14ac:dyDescent="0.3">
      <c r="A28" s="136">
        <v>2</v>
      </c>
      <c r="B28" s="6" t="s">
        <v>74</v>
      </c>
      <c r="C28" s="7"/>
      <c r="D28" s="7"/>
      <c r="E28" s="8"/>
      <c r="F28" s="216"/>
      <c r="G28" s="312"/>
    </row>
    <row r="29" spans="1:11" x14ac:dyDescent="0.3">
      <c r="A29" s="145"/>
      <c r="B29" s="35" t="s">
        <v>75</v>
      </c>
      <c r="C29" s="36" t="s">
        <v>10</v>
      </c>
      <c r="D29" s="36">
        <v>1</v>
      </c>
      <c r="E29" s="37">
        <v>1</v>
      </c>
      <c r="F29" s="215"/>
      <c r="G29" s="309">
        <f>D29*E29*F29</f>
        <v>0</v>
      </c>
    </row>
    <row r="30" spans="1:11" s="165" customFormat="1" x14ac:dyDescent="0.3">
      <c r="A30" s="145"/>
      <c r="B30" s="35" t="s">
        <v>76</v>
      </c>
      <c r="C30" s="36" t="s">
        <v>10</v>
      </c>
      <c r="D30" s="36">
        <v>1</v>
      </c>
      <c r="E30" s="37">
        <v>1</v>
      </c>
      <c r="F30" s="215"/>
      <c r="G30" s="309">
        <f>D30*E30*F30</f>
        <v>0</v>
      </c>
      <c r="K30" s="236"/>
    </row>
    <row r="31" spans="1:11" s="165" customFormat="1" x14ac:dyDescent="0.3">
      <c r="A31" s="136"/>
      <c r="B31" s="33" t="s">
        <v>59</v>
      </c>
      <c r="C31" s="9" t="s">
        <v>10</v>
      </c>
      <c r="D31" s="9">
        <v>15</v>
      </c>
      <c r="E31" s="32">
        <v>1</v>
      </c>
      <c r="F31" s="215"/>
      <c r="G31" s="309">
        <f>D31*E31*F31</f>
        <v>0</v>
      </c>
      <c r="K31" s="236"/>
    </row>
    <row r="32" spans="1:11" x14ac:dyDescent="0.3">
      <c r="A32" s="136"/>
      <c r="B32" s="38"/>
      <c r="C32" s="9"/>
      <c r="D32" s="9"/>
      <c r="E32" s="32"/>
      <c r="F32" s="215"/>
      <c r="G32" s="309"/>
    </row>
    <row r="33" spans="1:14" x14ac:dyDescent="0.3">
      <c r="A33" s="136">
        <v>3</v>
      </c>
      <c r="B33" s="6" t="s">
        <v>77</v>
      </c>
      <c r="C33" s="9"/>
      <c r="D33" s="9"/>
      <c r="E33" s="142"/>
      <c r="F33" s="215"/>
      <c r="G33" s="309"/>
    </row>
    <row r="34" spans="1:14" s="446" customFormat="1" ht="15" customHeight="1" x14ac:dyDescent="0.3">
      <c r="A34" s="447"/>
      <c r="B34" s="589" t="s">
        <v>277</v>
      </c>
      <c r="C34" s="36" t="s">
        <v>10</v>
      </c>
      <c r="D34" s="36">
        <v>1</v>
      </c>
      <c r="E34" s="42">
        <v>1</v>
      </c>
      <c r="F34" s="207"/>
      <c r="G34" s="309">
        <f t="shared" ref="G34" si="0">D34*E34*F34</f>
        <v>0</v>
      </c>
      <c r="H34" s="445"/>
      <c r="I34" s="445"/>
      <c r="J34" s="445"/>
      <c r="K34" s="532"/>
    </row>
    <row r="35" spans="1:14" s="446" customFormat="1" ht="15" customHeight="1" x14ac:dyDescent="0.3">
      <c r="A35" s="447"/>
      <c r="B35" s="444" t="s">
        <v>250</v>
      </c>
      <c r="C35" s="36" t="s">
        <v>10</v>
      </c>
      <c r="D35" s="36">
        <v>1</v>
      </c>
      <c r="E35" s="42">
        <v>1</v>
      </c>
      <c r="F35" s="207"/>
      <c r="G35" s="309">
        <f t="shared" ref="G35" si="1">D35*E35*F35</f>
        <v>0</v>
      </c>
      <c r="H35" s="445"/>
      <c r="I35" s="445"/>
      <c r="J35" s="445"/>
      <c r="K35" s="532"/>
    </row>
    <row r="36" spans="1:14" s="446" customFormat="1" ht="15" customHeight="1" x14ac:dyDescent="0.3">
      <c r="A36" s="447"/>
      <c r="B36" s="444" t="s">
        <v>340</v>
      </c>
      <c r="C36" s="36"/>
      <c r="D36" s="36"/>
      <c r="E36" s="42"/>
      <c r="F36" s="207"/>
      <c r="G36" s="309"/>
      <c r="H36" s="445"/>
      <c r="I36" s="445"/>
      <c r="J36" s="445"/>
      <c r="K36" s="532"/>
    </row>
    <row r="37" spans="1:14" x14ac:dyDescent="0.3">
      <c r="A37" s="145"/>
      <c r="B37" s="109"/>
      <c r="C37" s="36"/>
      <c r="D37" s="36"/>
      <c r="E37" s="42"/>
      <c r="F37" s="207"/>
      <c r="G37" s="309"/>
    </row>
    <row r="38" spans="1:14" x14ac:dyDescent="0.3">
      <c r="A38" s="135">
        <v>5</v>
      </c>
      <c r="B38" s="30" t="s">
        <v>66</v>
      </c>
      <c r="C38" s="3"/>
      <c r="D38" s="3"/>
      <c r="E38" s="3"/>
      <c r="F38" s="218"/>
      <c r="G38" s="313"/>
    </row>
    <row r="39" spans="1:14" s="165" customFormat="1" x14ac:dyDescent="0.3">
      <c r="A39" s="145"/>
      <c r="B39" s="109" t="s">
        <v>278</v>
      </c>
      <c r="C39" s="36" t="s">
        <v>375</v>
      </c>
      <c r="D39" s="36">
        <v>1</v>
      </c>
      <c r="E39" s="42">
        <v>1</v>
      </c>
      <c r="F39" s="207">
        <v>9000000</v>
      </c>
      <c r="G39" s="309">
        <f>D39*E39*F39</f>
        <v>9000000</v>
      </c>
      <c r="K39" s="236"/>
    </row>
    <row r="40" spans="1:14" x14ac:dyDescent="0.3">
      <c r="A40" s="135"/>
      <c r="B40" s="39"/>
      <c r="C40" s="3"/>
      <c r="D40" s="3"/>
      <c r="E40" s="40"/>
      <c r="F40" s="218"/>
      <c r="G40" s="314"/>
    </row>
    <row r="41" spans="1:14" x14ac:dyDescent="0.3">
      <c r="A41" s="139">
        <v>6</v>
      </c>
      <c r="B41" s="48" t="s">
        <v>78</v>
      </c>
      <c r="C41" s="3"/>
      <c r="D41" s="3"/>
      <c r="E41" s="40"/>
      <c r="F41" s="222"/>
      <c r="G41" s="314"/>
    </row>
    <row r="42" spans="1:14" s="165" customFormat="1" x14ac:dyDescent="0.3">
      <c r="A42" s="139"/>
      <c r="B42" s="49" t="s">
        <v>79</v>
      </c>
      <c r="C42" s="3" t="s">
        <v>10</v>
      </c>
      <c r="D42" s="3">
        <v>10</v>
      </c>
      <c r="E42" s="3">
        <v>1</v>
      </c>
      <c r="F42" s="207">
        <v>850000</v>
      </c>
      <c r="G42" s="309">
        <f>D42*E42*F42</f>
        <v>8500000</v>
      </c>
      <c r="K42" s="236">
        <v>8500000</v>
      </c>
      <c r="L42" s="165" t="s">
        <v>326</v>
      </c>
      <c r="M42" s="165" t="s">
        <v>325</v>
      </c>
      <c r="N42" s="531">
        <v>45968</v>
      </c>
    </row>
    <row r="43" spans="1:14" x14ac:dyDescent="0.3">
      <c r="A43" s="149"/>
      <c r="B43" s="114"/>
      <c r="C43" s="112"/>
      <c r="D43" s="112"/>
      <c r="E43" s="113"/>
      <c r="F43" s="221"/>
      <c r="G43" s="310"/>
    </row>
    <row r="44" spans="1:14" x14ac:dyDescent="0.3">
      <c r="A44" s="136">
        <v>7</v>
      </c>
      <c r="B44" s="50" t="s">
        <v>38</v>
      </c>
      <c r="C44" s="7"/>
      <c r="D44" s="7"/>
      <c r="E44" s="8"/>
      <c r="F44" s="8"/>
      <c r="G44" s="312"/>
    </row>
    <row r="45" spans="1:14" s="165" customFormat="1" x14ac:dyDescent="0.3">
      <c r="A45" s="136"/>
      <c r="B45" s="52" t="s">
        <v>253</v>
      </c>
      <c r="C45" s="9" t="s">
        <v>10</v>
      </c>
      <c r="D45" s="9">
        <v>350</v>
      </c>
      <c r="E45" s="10">
        <v>1</v>
      </c>
      <c r="F45" s="222"/>
      <c r="G45" s="309">
        <f t="shared" ref="G45:G61" si="2">D45*E45*F45</f>
        <v>0</v>
      </c>
      <c r="K45" s="236">
        <v>682564</v>
      </c>
      <c r="L45" s="165" t="s">
        <v>309</v>
      </c>
      <c r="M45" s="165" t="s">
        <v>310</v>
      </c>
      <c r="N45" s="531">
        <v>45968</v>
      </c>
    </row>
    <row r="46" spans="1:14" x14ac:dyDescent="0.3">
      <c r="A46" s="136"/>
      <c r="B46" s="56" t="s">
        <v>73</v>
      </c>
      <c r="C46" s="9" t="s">
        <v>10</v>
      </c>
      <c r="D46" s="9">
        <v>1</v>
      </c>
      <c r="E46" s="10">
        <v>1</v>
      </c>
      <c r="F46" s="222"/>
      <c r="G46" s="309">
        <f t="shared" si="2"/>
        <v>0</v>
      </c>
    </row>
    <row r="47" spans="1:14" s="165" customFormat="1" x14ac:dyDescent="0.3">
      <c r="A47" s="136"/>
      <c r="B47" s="56" t="s">
        <v>80</v>
      </c>
      <c r="C47" s="9" t="s">
        <v>10</v>
      </c>
      <c r="D47" s="9">
        <v>1</v>
      </c>
      <c r="E47" s="10">
        <v>1</v>
      </c>
      <c r="F47" s="222"/>
      <c r="G47" s="309">
        <f t="shared" si="2"/>
        <v>0</v>
      </c>
      <c r="K47" s="236">
        <f>8500000+173469</f>
        <v>8673469</v>
      </c>
      <c r="L47" s="165" t="s">
        <v>320</v>
      </c>
      <c r="M47" s="165" t="s">
        <v>321</v>
      </c>
      <c r="N47" s="531">
        <v>45968</v>
      </c>
    </row>
    <row r="48" spans="1:14" s="165" customFormat="1" x14ac:dyDescent="0.3">
      <c r="A48" s="136"/>
      <c r="B48" s="56"/>
      <c r="C48" s="9"/>
      <c r="D48" s="9"/>
      <c r="E48" s="10"/>
      <c r="F48" s="222"/>
      <c r="G48" s="309">
        <f t="shared" si="2"/>
        <v>0</v>
      </c>
      <c r="K48" s="236"/>
    </row>
    <row r="49" spans="1:19" s="572" customFormat="1" x14ac:dyDescent="0.3">
      <c r="A49" s="239"/>
      <c r="B49" s="573" t="s">
        <v>363</v>
      </c>
      <c r="C49" s="582" t="s">
        <v>10</v>
      </c>
      <c r="D49" s="577">
        <f>11+6-10</f>
        <v>7</v>
      </c>
      <c r="E49" s="576">
        <v>1</v>
      </c>
      <c r="F49" s="578"/>
      <c r="G49" s="583">
        <f t="shared" si="2"/>
        <v>0</v>
      </c>
      <c r="H49" s="571"/>
      <c r="I49" s="571"/>
      <c r="J49" s="571"/>
      <c r="K49" s="611">
        <f>22500000+459184</f>
        <v>22959184</v>
      </c>
      <c r="L49" s="612" t="s">
        <v>342</v>
      </c>
      <c r="M49" s="612" t="s">
        <v>341</v>
      </c>
      <c r="N49" s="613">
        <v>45974</v>
      </c>
      <c r="P49" s="571" t="s">
        <v>330</v>
      </c>
      <c r="S49" s="572" t="s">
        <v>329</v>
      </c>
    </row>
    <row r="50" spans="1:19" s="572" customFormat="1" x14ac:dyDescent="0.3">
      <c r="A50" s="239"/>
      <c r="B50" s="573" t="s">
        <v>263</v>
      </c>
      <c r="C50" s="582" t="s">
        <v>10</v>
      </c>
      <c r="D50" s="577">
        <v>1</v>
      </c>
      <c r="E50" s="576">
        <v>1</v>
      </c>
      <c r="F50" s="578">
        <v>2500000</v>
      </c>
      <c r="G50" s="583">
        <f t="shared" si="2"/>
        <v>2500000</v>
      </c>
      <c r="H50" s="571"/>
      <c r="I50" s="571"/>
      <c r="J50" s="571"/>
      <c r="K50" s="611"/>
      <c r="L50" s="612"/>
      <c r="M50" s="612"/>
      <c r="N50" s="613"/>
    </row>
    <row r="51" spans="1:19" s="572" customFormat="1" x14ac:dyDescent="0.3">
      <c r="A51" s="239"/>
      <c r="B51" s="573" t="s">
        <v>264</v>
      </c>
      <c r="C51" s="582" t="s">
        <v>10</v>
      </c>
      <c r="D51" s="577">
        <f>11-6</f>
        <v>5</v>
      </c>
      <c r="E51" s="576">
        <v>1</v>
      </c>
      <c r="F51" s="578">
        <v>300000</v>
      </c>
      <c r="G51" s="583">
        <f t="shared" si="2"/>
        <v>1500000</v>
      </c>
      <c r="H51" s="571"/>
      <c r="I51" s="571"/>
      <c r="J51" s="571"/>
      <c r="K51" s="571" t="s">
        <v>350</v>
      </c>
      <c r="L51" s="571"/>
      <c r="M51" s="572" t="s">
        <v>348</v>
      </c>
    </row>
    <row r="52" spans="1:19" s="572" customFormat="1" x14ac:dyDescent="0.3">
      <c r="A52" s="239"/>
      <c r="B52" s="573" t="s">
        <v>265</v>
      </c>
      <c r="C52" s="582" t="s">
        <v>10</v>
      </c>
      <c r="D52" s="577">
        <f>6-4</f>
        <v>2</v>
      </c>
      <c r="E52" s="576">
        <v>1</v>
      </c>
      <c r="F52" s="578">
        <v>500000</v>
      </c>
      <c r="G52" s="583">
        <f t="shared" si="2"/>
        <v>1000000</v>
      </c>
      <c r="H52" s="571"/>
      <c r="I52" s="571"/>
      <c r="J52" s="571"/>
      <c r="K52" s="571"/>
      <c r="L52" s="571"/>
    </row>
    <row r="53" spans="1:19" x14ac:dyDescent="0.3">
      <c r="A53" s="136"/>
      <c r="B53" s="56"/>
      <c r="C53" s="392"/>
      <c r="D53" s="9"/>
      <c r="E53" s="10"/>
      <c r="F53" s="222"/>
      <c r="G53" s="309"/>
      <c r="H53" s="166"/>
      <c r="I53" s="166"/>
      <c r="J53" s="166"/>
      <c r="L53" s="166"/>
    </row>
    <row r="54" spans="1:19" x14ac:dyDescent="0.3">
      <c r="A54" s="136"/>
      <c r="B54" s="56" t="s">
        <v>294</v>
      </c>
      <c r="C54" s="392" t="s">
        <v>10</v>
      </c>
      <c r="D54" s="9">
        <v>3</v>
      </c>
      <c r="E54" s="10">
        <v>1</v>
      </c>
      <c r="F54" s="222"/>
      <c r="G54" s="309">
        <f t="shared" si="2"/>
        <v>0</v>
      </c>
      <c r="H54" s="166"/>
      <c r="I54" s="166"/>
      <c r="J54" s="166"/>
      <c r="L54" s="166"/>
    </row>
    <row r="55" spans="1:19" x14ac:dyDescent="0.3">
      <c r="A55" s="239"/>
      <c r="B55" s="558" t="s">
        <v>335</v>
      </c>
      <c r="C55" s="553" t="s">
        <v>10</v>
      </c>
      <c r="D55" s="476">
        <v>1</v>
      </c>
      <c r="E55" s="168">
        <v>1</v>
      </c>
      <c r="F55" s="559"/>
      <c r="G55" s="498">
        <f t="shared" si="2"/>
        <v>0</v>
      </c>
      <c r="H55" s="166"/>
      <c r="I55" s="166"/>
      <c r="J55" s="166"/>
      <c r="K55" s="166" t="s">
        <v>336</v>
      </c>
      <c r="L55" s="166"/>
      <c r="M55" t="s">
        <v>337</v>
      </c>
    </row>
    <row r="56" spans="1:19" x14ac:dyDescent="0.3">
      <c r="A56" s="239"/>
      <c r="B56" s="558" t="s">
        <v>338</v>
      </c>
      <c r="C56" s="553" t="s">
        <v>10</v>
      </c>
      <c r="D56" s="476">
        <v>2</v>
      </c>
      <c r="E56" s="168">
        <v>1</v>
      </c>
      <c r="F56" s="559"/>
      <c r="G56" s="498"/>
      <c r="H56" s="166"/>
      <c r="I56" s="166"/>
      <c r="J56" s="166"/>
      <c r="L56" s="166"/>
    </row>
    <row r="57" spans="1:19" x14ac:dyDescent="0.3">
      <c r="A57" s="239"/>
      <c r="B57" s="558" t="s">
        <v>339</v>
      </c>
      <c r="C57" s="553" t="s">
        <v>10</v>
      </c>
      <c r="D57" s="476">
        <v>3</v>
      </c>
      <c r="E57" s="168">
        <v>1</v>
      </c>
      <c r="F57" s="559"/>
      <c r="G57" s="498"/>
      <c r="H57" s="166"/>
      <c r="I57" s="166"/>
      <c r="J57" s="166"/>
      <c r="L57" s="166"/>
    </row>
    <row r="58" spans="1:19" x14ac:dyDescent="0.3">
      <c r="A58" s="136"/>
      <c r="B58" s="56"/>
      <c r="C58" s="392"/>
      <c r="D58" s="9"/>
      <c r="E58" s="10"/>
      <c r="F58" s="222"/>
      <c r="G58" s="309"/>
      <c r="H58" s="166"/>
      <c r="I58" s="166"/>
      <c r="J58" s="166"/>
      <c r="L58" s="166"/>
    </row>
    <row r="59" spans="1:19" x14ac:dyDescent="0.3">
      <c r="A59" s="239"/>
      <c r="B59" s="558" t="s">
        <v>303</v>
      </c>
      <c r="C59" s="553" t="s">
        <v>10</v>
      </c>
      <c r="D59" s="476">
        <v>1</v>
      </c>
      <c r="E59" s="168">
        <v>1</v>
      </c>
      <c r="F59" s="559"/>
      <c r="G59" s="498">
        <f t="shared" si="2"/>
        <v>0</v>
      </c>
      <c r="H59" s="166"/>
      <c r="I59" s="166"/>
      <c r="J59" s="166"/>
      <c r="K59" s="166" t="s">
        <v>334</v>
      </c>
      <c r="L59" s="166"/>
    </row>
    <row r="60" spans="1:19" s="539" customFormat="1" x14ac:dyDescent="0.3">
      <c r="A60" s="239"/>
      <c r="B60" s="573" t="s">
        <v>364</v>
      </c>
      <c r="C60" s="582" t="s">
        <v>10</v>
      </c>
      <c r="D60" s="577">
        <v>3</v>
      </c>
      <c r="E60" s="576">
        <v>1</v>
      </c>
      <c r="F60" s="578"/>
      <c r="G60" s="583">
        <f t="shared" ref="G60" si="3">D60*E60*F60</f>
        <v>0</v>
      </c>
      <c r="H60" s="540"/>
      <c r="I60" s="540"/>
      <c r="J60" s="540"/>
      <c r="K60" s="540"/>
      <c r="L60" s="540"/>
      <c r="M60" s="539" t="s">
        <v>347</v>
      </c>
    </row>
    <row r="61" spans="1:19" s="539" customFormat="1" x14ac:dyDescent="0.3">
      <c r="A61" s="590"/>
      <c r="B61" s="573" t="s">
        <v>304</v>
      </c>
      <c r="C61" s="582" t="s">
        <v>10</v>
      </c>
      <c r="D61" s="577">
        <f>3-1</f>
        <v>2</v>
      </c>
      <c r="E61" s="576">
        <v>1</v>
      </c>
      <c r="F61" s="578"/>
      <c r="G61" s="583">
        <f t="shared" si="2"/>
        <v>0</v>
      </c>
      <c r="H61" s="540"/>
      <c r="I61" s="540"/>
      <c r="J61" s="540"/>
      <c r="K61" s="540"/>
      <c r="L61" s="540"/>
      <c r="M61" s="539" t="s">
        <v>346</v>
      </c>
    </row>
    <row r="62" spans="1:19" s="165" customFormat="1" x14ac:dyDescent="0.3">
      <c r="A62" s="136"/>
      <c r="B62" s="56"/>
      <c r="C62" s="392"/>
      <c r="D62" s="9"/>
      <c r="E62" s="10"/>
      <c r="F62" s="222"/>
      <c r="G62" s="309"/>
      <c r="H62" s="236"/>
      <c r="I62" s="236"/>
      <c r="J62" s="236"/>
      <c r="K62" s="236"/>
      <c r="L62" s="236"/>
    </row>
    <row r="63" spans="1:19" s="567" customFormat="1" x14ac:dyDescent="0.3">
      <c r="A63" s="239">
        <v>8</v>
      </c>
      <c r="B63" s="560" t="s">
        <v>331</v>
      </c>
      <c r="C63" s="561"/>
      <c r="D63" s="562"/>
      <c r="E63" s="563"/>
      <c r="F63" s="564"/>
      <c r="G63" s="565"/>
      <c r="H63" s="566"/>
      <c r="I63" s="566"/>
      <c r="J63" s="566"/>
      <c r="K63" s="566"/>
      <c r="L63" s="566"/>
    </row>
    <row r="64" spans="1:19" s="165" customFormat="1" x14ac:dyDescent="0.3">
      <c r="A64" s="136"/>
      <c r="B64" s="56" t="s">
        <v>332</v>
      </c>
      <c r="C64" s="392" t="s">
        <v>10</v>
      </c>
      <c r="D64" s="9">
        <v>2</v>
      </c>
      <c r="E64" s="10">
        <v>1</v>
      </c>
      <c r="F64" s="222"/>
      <c r="G64" s="309">
        <f t="shared" ref="G64" si="4">D64*E64*F64</f>
        <v>0</v>
      </c>
      <c r="H64" s="236"/>
      <c r="I64" s="236"/>
      <c r="J64" s="236"/>
      <c r="K64" s="236"/>
      <c r="L64" s="236"/>
      <c r="M64" s="545"/>
      <c r="N64" s="546" t="s">
        <v>345</v>
      </c>
    </row>
    <row r="65" spans="1:15" ht="15" thickBot="1" x14ac:dyDescent="0.35">
      <c r="A65" s="150"/>
      <c r="B65" s="151"/>
      <c r="C65" s="152"/>
      <c r="D65" s="152"/>
      <c r="E65" s="152"/>
      <c r="F65" s="497"/>
      <c r="G65" s="500"/>
      <c r="M65" s="544"/>
      <c r="N65" s="547" t="s">
        <v>357</v>
      </c>
    </row>
    <row r="66" spans="1:15" ht="15" thickBot="1" x14ac:dyDescent="0.35">
      <c r="A66" s="110"/>
      <c r="B66" s="54"/>
      <c r="C66" s="54"/>
      <c r="D66" s="54"/>
      <c r="E66" s="54"/>
      <c r="F66" s="54"/>
      <c r="G66" s="501">
        <f>SUM(G24:G65)</f>
        <v>22500000</v>
      </c>
      <c r="K66" s="166" t="e">
        <f>+#REF!+#REF!+K65</f>
        <v>#REF!</v>
      </c>
      <c r="M66" s="544"/>
      <c r="N66" s="547" t="s">
        <v>349</v>
      </c>
      <c r="O66" s="546"/>
    </row>
    <row r="67" spans="1:15" x14ac:dyDescent="0.3">
      <c r="A67" s="15"/>
      <c r="B67" s="16" t="s">
        <v>11</v>
      </c>
      <c r="C67" s="17"/>
      <c r="D67" s="17"/>
      <c r="E67" s="17"/>
      <c r="F67" s="17"/>
      <c r="G67" s="502">
        <f>+G66</f>
        <v>22500000</v>
      </c>
      <c r="M67" s="544"/>
      <c r="N67" s="547"/>
      <c r="O67" s="547"/>
    </row>
    <row r="68" spans="1:15" x14ac:dyDescent="0.3">
      <c r="A68" s="20"/>
      <c r="B68" s="21"/>
      <c r="C68" s="22"/>
      <c r="D68" s="22"/>
      <c r="E68" s="22"/>
      <c r="F68" s="22"/>
      <c r="G68" s="318"/>
      <c r="M68" s="544"/>
      <c r="N68" s="547"/>
      <c r="O68" s="547"/>
    </row>
    <row r="69" spans="1:15" x14ac:dyDescent="0.3">
      <c r="A69" s="20"/>
      <c r="B69" s="21"/>
      <c r="C69" s="22"/>
      <c r="D69" s="22"/>
      <c r="E69" s="22"/>
      <c r="F69" s="22"/>
      <c r="G69" s="318"/>
      <c r="L69" s="166"/>
    </row>
    <row r="70" spans="1:15" x14ac:dyDescent="0.3">
      <c r="A70" s="20"/>
      <c r="B70" s="21"/>
      <c r="C70" s="22"/>
      <c r="D70" s="22"/>
      <c r="E70" s="22"/>
      <c r="F70" s="22"/>
      <c r="G70" s="318"/>
    </row>
    <row r="71" spans="1:15" ht="15" thickBot="1" x14ac:dyDescent="0.35">
      <c r="A71" s="20"/>
      <c r="B71" s="21"/>
      <c r="C71" s="22"/>
      <c r="D71" s="22"/>
      <c r="E71" s="22"/>
      <c r="F71" s="22"/>
      <c r="G71" s="319"/>
    </row>
    <row r="73" spans="1:15" ht="15.6" x14ac:dyDescent="0.3">
      <c r="A73" s="320" t="s">
        <v>202</v>
      </c>
      <c r="B73" s="320"/>
      <c r="C73" s="249"/>
      <c r="G73"/>
    </row>
    <row r="74" spans="1:15" ht="15.6" x14ac:dyDescent="0.3">
      <c r="A74" s="270">
        <v>1</v>
      </c>
      <c r="B74" s="321" t="s">
        <v>203</v>
      </c>
      <c r="C74" s="249"/>
      <c r="G74"/>
    </row>
    <row r="75" spans="1:15" ht="15.6" x14ac:dyDescent="0.3">
      <c r="A75" s="270">
        <v>2</v>
      </c>
      <c r="B75" s="321" t="s">
        <v>204</v>
      </c>
      <c r="C75" s="249"/>
      <c r="G75"/>
    </row>
    <row r="76" spans="1:15" ht="15.6" x14ac:dyDescent="0.3">
      <c r="A76" s="270">
        <v>3</v>
      </c>
      <c r="B76" s="321" t="s">
        <v>205</v>
      </c>
      <c r="C76" s="249"/>
      <c r="G76"/>
    </row>
    <row r="77" spans="1:15" ht="15.6" x14ac:dyDescent="0.3">
      <c r="A77" s="270">
        <v>4</v>
      </c>
      <c r="B77" s="322" t="s">
        <v>206</v>
      </c>
      <c r="C77" s="249"/>
      <c r="G77"/>
    </row>
    <row r="78" spans="1:15" ht="15.6" x14ac:dyDescent="0.3">
      <c r="A78" s="270"/>
      <c r="B78" s="323" t="s">
        <v>207</v>
      </c>
      <c r="C78" s="249"/>
      <c r="G78"/>
    </row>
    <row r="79" spans="1:15" ht="15.6" x14ac:dyDescent="0.3">
      <c r="A79" s="270"/>
      <c r="B79" s="322" t="s">
        <v>208</v>
      </c>
      <c r="C79" s="249"/>
      <c r="G79"/>
    </row>
    <row r="80" spans="1:15" ht="15.6" x14ac:dyDescent="0.3">
      <c r="A80" s="270"/>
      <c r="B80" s="321" t="s">
        <v>209</v>
      </c>
      <c r="C80" s="249"/>
      <c r="G80"/>
    </row>
    <row r="81" spans="1:7" ht="15.6" x14ac:dyDescent="0.3">
      <c r="A81" s="270"/>
      <c r="B81" s="321" t="s">
        <v>210</v>
      </c>
      <c r="C81" s="249"/>
      <c r="G81"/>
    </row>
    <row r="82" spans="1:7" ht="15.6" x14ac:dyDescent="0.3">
      <c r="A82" s="270"/>
      <c r="B82" s="321" t="s">
        <v>211</v>
      </c>
      <c r="C82" s="249"/>
      <c r="G82"/>
    </row>
    <row r="83" spans="1:7" ht="15.6" x14ac:dyDescent="0.3">
      <c r="A83" s="270"/>
      <c r="B83" s="322" t="s">
        <v>212</v>
      </c>
      <c r="C83" s="249"/>
      <c r="G83"/>
    </row>
    <row r="84" spans="1:7" x14ac:dyDescent="0.3">
      <c r="C84" s="249"/>
      <c r="G84"/>
    </row>
    <row r="85" spans="1:7" ht="15.6" x14ac:dyDescent="0.3">
      <c r="B85" s="322" t="s">
        <v>213</v>
      </c>
      <c r="C85" s="322"/>
      <c r="D85" s="330"/>
      <c r="E85" s="330"/>
      <c r="F85" s="330"/>
      <c r="G85" s="331" t="s">
        <v>214</v>
      </c>
    </row>
    <row r="86" spans="1:7" ht="15.6" x14ac:dyDescent="0.3">
      <c r="B86" s="323"/>
      <c r="C86" s="323"/>
      <c r="D86" s="330"/>
      <c r="E86" s="330"/>
      <c r="F86" s="330"/>
      <c r="G86" s="333"/>
    </row>
    <row r="87" spans="1:7" ht="15.6" x14ac:dyDescent="0.3">
      <c r="B87" s="334"/>
      <c r="C87" s="334"/>
      <c r="D87" s="335"/>
      <c r="E87" s="330"/>
      <c r="F87" s="330"/>
      <c r="G87" s="333"/>
    </row>
    <row r="88" spans="1:7" ht="15.6" x14ac:dyDescent="0.3">
      <c r="B88" s="334"/>
      <c r="C88" s="334"/>
      <c r="D88" s="335"/>
      <c r="E88" s="330"/>
      <c r="F88" s="330"/>
      <c r="G88" s="333"/>
    </row>
    <row r="89" spans="1:7" ht="15.6" x14ac:dyDescent="0.3">
      <c r="B89" s="334"/>
      <c r="C89" s="334"/>
      <c r="D89" s="335"/>
      <c r="E89" s="330"/>
      <c r="F89" s="330"/>
      <c r="G89" s="333"/>
    </row>
    <row r="90" spans="1:7" ht="15.6" x14ac:dyDescent="0.3">
      <c r="B90" s="272"/>
      <c r="C90" s="272"/>
      <c r="D90" s="335"/>
      <c r="E90" s="330"/>
      <c r="F90" s="330"/>
      <c r="G90" s="333"/>
    </row>
    <row r="91" spans="1:7" ht="15.6" x14ac:dyDescent="0.3">
      <c r="B91" s="334"/>
      <c r="C91" s="334"/>
      <c r="D91" s="335"/>
      <c r="E91" s="335"/>
      <c r="F91" s="335"/>
      <c r="G91" s="333"/>
    </row>
    <row r="92" spans="1:7" ht="15.6" x14ac:dyDescent="0.3">
      <c r="B92" s="336" t="s">
        <v>215</v>
      </c>
      <c r="C92" s="336"/>
      <c r="D92" s="335"/>
      <c r="E92" s="335"/>
      <c r="F92" s="335"/>
      <c r="G92" s="337" t="s">
        <v>216</v>
      </c>
    </row>
    <row r="93" spans="1:7" ht="15.6" x14ac:dyDescent="0.3">
      <c r="B93" s="339" t="s">
        <v>217</v>
      </c>
      <c r="C93" s="339"/>
      <c r="D93" s="335"/>
      <c r="E93" s="335"/>
      <c r="F93" s="335"/>
      <c r="G93" s="337" t="s">
        <v>218</v>
      </c>
    </row>
    <row r="94" spans="1:7" x14ac:dyDescent="0.3">
      <c r="D94" s="249"/>
      <c r="G94"/>
    </row>
    <row r="95" spans="1:7" x14ac:dyDescent="0.3">
      <c r="D95" s="249"/>
      <c r="G95"/>
    </row>
    <row r="96" spans="1:7" x14ac:dyDescent="0.3">
      <c r="D96" s="249"/>
      <c r="G96"/>
    </row>
    <row r="97" spans="4:7" x14ac:dyDescent="0.3">
      <c r="D97" s="249"/>
      <c r="G97"/>
    </row>
    <row r="98" spans="4:7" x14ac:dyDescent="0.3">
      <c r="D98" s="249"/>
      <c r="G98"/>
    </row>
    <row r="99" spans="4:7" x14ac:dyDescent="0.3">
      <c r="D99" s="249"/>
      <c r="G99"/>
    </row>
    <row r="100" spans="4:7" x14ac:dyDescent="0.3">
      <c r="D100" s="249"/>
      <c r="G100"/>
    </row>
    <row r="101" spans="4:7" x14ac:dyDescent="0.3">
      <c r="D101" s="249"/>
      <c r="G101"/>
    </row>
    <row r="102" spans="4:7" x14ac:dyDescent="0.3">
      <c r="D102" s="249"/>
      <c r="G102"/>
    </row>
    <row r="103" spans="4:7" x14ac:dyDescent="0.3">
      <c r="D103" s="249"/>
      <c r="G103"/>
    </row>
    <row r="104" spans="4:7" x14ac:dyDescent="0.3">
      <c r="D104" s="249"/>
      <c r="G104"/>
    </row>
  </sheetData>
  <mergeCells count="5">
    <mergeCell ref="F22:G22"/>
    <mergeCell ref="K49:K50"/>
    <mergeCell ref="L49:L50"/>
    <mergeCell ref="M49:M50"/>
    <mergeCell ref="N49:N50"/>
  </mergeCells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30CDF-8120-4540-A500-56690D565E9C}">
  <sheetPr>
    <pageSetUpPr fitToPage="1"/>
  </sheetPr>
  <dimension ref="A9:O168"/>
  <sheetViews>
    <sheetView topLeftCell="A118" workbookViewId="0">
      <selection activeCell="B128" sqref="B128"/>
    </sheetView>
  </sheetViews>
  <sheetFormatPr defaultColWidth="9.109375" defaultRowHeight="14.4" x14ac:dyDescent="0.3"/>
  <cols>
    <col min="1" max="1" width="6.5546875" style="165" customWidth="1"/>
    <col min="2" max="2" width="88" style="165" customWidth="1"/>
    <col min="3" max="3" width="4.88671875" style="165" hidden="1" customWidth="1"/>
    <col min="4" max="4" width="9.5546875" style="165" customWidth="1"/>
    <col min="5" max="5" width="9.109375" style="165"/>
    <col min="6" max="6" width="9" style="165" customWidth="1"/>
    <col min="7" max="7" width="16.109375" style="165" customWidth="1"/>
    <col min="8" max="8" width="17.109375" style="165" customWidth="1"/>
    <col min="9" max="9" width="17.5546875" style="255" customWidth="1"/>
    <col min="10" max="10" width="68.33203125" style="165" customWidth="1"/>
    <col min="11" max="11" width="12.88671875" style="165" customWidth="1"/>
    <col min="12" max="16384" width="9.109375" style="165"/>
  </cols>
  <sheetData>
    <row r="9" spans="1:11" ht="15.6" x14ac:dyDescent="0.3">
      <c r="A9" s="260" t="s">
        <v>189</v>
      </c>
      <c r="B9" s="261" t="s">
        <v>306</v>
      </c>
      <c r="C9" s="406"/>
      <c r="D9" s="406"/>
      <c r="E9" s="261"/>
      <c r="F9" s="276" t="s">
        <v>190</v>
      </c>
      <c r="G9" s="262" t="s">
        <v>191</v>
      </c>
      <c r="H9" s="343"/>
      <c r="I9" s="165"/>
      <c r="J9" s="441"/>
      <c r="K9" s="264"/>
    </row>
    <row r="10" spans="1:11" ht="15.6" x14ac:dyDescent="0.3">
      <c r="A10" s="265" t="s">
        <v>192</v>
      </c>
      <c r="B10" s="266" t="s">
        <v>193</v>
      </c>
      <c r="C10" s="287"/>
      <c r="D10" s="287"/>
      <c r="E10" s="266"/>
      <c r="F10" s="277" t="s">
        <v>244</v>
      </c>
      <c r="G10" s="266" t="s">
        <v>257</v>
      </c>
      <c r="I10" s="165"/>
      <c r="J10" s="267"/>
      <c r="K10" s="264"/>
    </row>
    <row r="11" spans="1:11" ht="15.6" x14ac:dyDescent="0.3">
      <c r="A11" s="265" t="s">
        <v>194</v>
      </c>
      <c r="B11" s="266" t="s">
        <v>195</v>
      </c>
      <c r="C11" s="287"/>
      <c r="D11" s="287"/>
      <c r="E11" s="266"/>
      <c r="F11" s="277" t="s">
        <v>196</v>
      </c>
      <c r="G11" s="266" t="s">
        <v>246</v>
      </c>
      <c r="I11" s="165"/>
      <c r="J11" s="267"/>
      <c r="K11" s="264"/>
    </row>
    <row r="12" spans="1:11" ht="15.6" x14ac:dyDescent="0.3">
      <c r="A12" s="268" t="s">
        <v>197</v>
      </c>
      <c r="B12" s="266" t="s">
        <v>198</v>
      </c>
      <c r="C12" s="287"/>
      <c r="D12" s="287"/>
      <c r="E12" s="266"/>
      <c r="F12" s="277" t="s">
        <v>199</v>
      </c>
      <c r="G12" s="266" t="s">
        <v>299</v>
      </c>
      <c r="I12" s="165"/>
      <c r="J12" s="267"/>
      <c r="K12" s="264"/>
    </row>
    <row r="13" spans="1:11" ht="15.6" x14ac:dyDescent="0.3">
      <c r="A13" s="268"/>
      <c r="B13" s="266" t="s">
        <v>200</v>
      </c>
      <c r="C13" s="287"/>
      <c r="D13" s="287"/>
      <c r="E13" s="266"/>
      <c r="F13" s="270"/>
      <c r="G13" s="271"/>
      <c r="H13" s="272"/>
      <c r="I13" s="256"/>
    </row>
    <row r="14" spans="1:11" ht="15.6" x14ac:dyDescent="0.3">
      <c r="A14" s="268"/>
      <c r="B14" s="269" t="s">
        <v>201</v>
      </c>
      <c r="C14" s="287"/>
      <c r="D14" s="287"/>
      <c r="E14" s="269"/>
      <c r="F14" s="270"/>
      <c r="G14" s="271"/>
      <c r="H14" s="272"/>
      <c r="I14" s="256"/>
    </row>
    <row r="15" spans="1:11" ht="15" thickBot="1" x14ac:dyDescent="0.35">
      <c r="G15" s="614"/>
      <c r="H15" s="614"/>
    </row>
    <row r="16" spans="1:11" ht="16.2" thickBot="1" x14ac:dyDescent="0.35">
      <c r="A16" s="132" t="s">
        <v>0</v>
      </c>
      <c r="B16" s="133" t="s">
        <v>1</v>
      </c>
      <c r="C16" s="133" t="s">
        <v>2</v>
      </c>
      <c r="D16" s="133" t="s">
        <v>2</v>
      </c>
      <c r="E16" s="133" t="s">
        <v>3</v>
      </c>
      <c r="F16" s="133" t="s">
        <v>4</v>
      </c>
      <c r="G16" s="503" t="s">
        <v>46</v>
      </c>
      <c r="H16" s="506" t="s">
        <v>11</v>
      </c>
    </row>
    <row r="17" spans="1:8" x14ac:dyDescent="0.3">
      <c r="A17" s="134"/>
      <c r="B17" s="2"/>
      <c r="C17" s="3"/>
      <c r="D17" s="3"/>
      <c r="E17" s="3"/>
      <c r="F17" s="3"/>
      <c r="G17" s="478"/>
      <c r="H17" s="308"/>
    </row>
    <row r="18" spans="1:8" x14ac:dyDescent="0.3">
      <c r="A18" s="136" t="s">
        <v>5</v>
      </c>
      <c r="B18" s="6" t="s">
        <v>81</v>
      </c>
      <c r="C18" s="9"/>
      <c r="D18" s="9"/>
      <c r="E18" s="9"/>
      <c r="F18" s="10"/>
      <c r="G18" s="207"/>
      <c r="H18" s="309"/>
    </row>
    <row r="19" spans="1:8" x14ac:dyDescent="0.3">
      <c r="A19" s="136"/>
      <c r="B19" s="6"/>
      <c r="C19" s="9"/>
      <c r="D19" s="9"/>
      <c r="E19" s="9"/>
      <c r="F19" s="10"/>
      <c r="G19" s="207"/>
      <c r="H19" s="309"/>
    </row>
    <row r="20" spans="1:8" x14ac:dyDescent="0.3">
      <c r="A20" s="136">
        <v>1</v>
      </c>
      <c r="B20" s="6" t="s">
        <v>82</v>
      </c>
      <c r="C20" s="7"/>
      <c r="D20" s="9" t="s">
        <v>10</v>
      </c>
      <c r="E20" s="7"/>
      <c r="F20" s="8"/>
      <c r="G20" s="216"/>
      <c r="H20" s="312"/>
    </row>
    <row r="21" spans="1:8" x14ac:dyDescent="0.3">
      <c r="A21" s="34"/>
      <c r="B21" s="35" t="s">
        <v>83</v>
      </c>
      <c r="C21" s="36" t="s">
        <v>10</v>
      </c>
      <c r="D21" s="36"/>
      <c r="E21" s="36">
        <v>4</v>
      </c>
      <c r="F21" s="32">
        <v>1</v>
      </c>
      <c r="G21" s="215"/>
      <c r="H21" s="313">
        <f t="shared" ref="H21:H28" si="0">E21*F21*G21</f>
        <v>0</v>
      </c>
    </row>
    <row r="22" spans="1:8" x14ac:dyDescent="0.3">
      <c r="A22" s="136"/>
      <c r="B22" s="33" t="s">
        <v>84</v>
      </c>
      <c r="C22" s="9" t="s">
        <v>10</v>
      </c>
      <c r="D22" s="9"/>
      <c r="E22" s="9">
        <v>2</v>
      </c>
      <c r="F22" s="32">
        <v>1</v>
      </c>
      <c r="G22" s="215"/>
      <c r="H22" s="313">
        <f t="shared" si="0"/>
        <v>0</v>
      </c>
    </row>
    <row r="23" spans="1:8" x14ac:dyDescent="0.3">
      <c r="A23" s="136"/>
      <c r="B23" s="33" t="s">
        <v>85</v>
      </c>
      <c r="C23" s="9" t="s">
        <v>10</v>
      </c>
      <c r="D23" s="9"/>
      <c r="E23" s="9">
        <v>2</v>
      </c>
      <c r="F23" s="32">
        <v>1</v>
      </c>
      <c r="G23" s="215"/>
      <c r="H23" s="313">
        <f t="shared" si="0"/>
        <v>0</v>
      </c>
    </row>
    <row r="24" spans="1:8" x14ac:dyDescent="0.3">
      <c r="A24" s="136"/>
      <c r="B24" s="33" t="s">
        <v>305</v>
      </c>
      <c r="C24" s="9"/>
      <c r="D24" s="9"/>
      <c r="E24" s="9">
        <v>1</v>
      </c>
      <c r="F24" s="32">
        <v>1</v>
      </c>
      <c r="G24" s="215"/>
      <c r="H24" s="313">
        <f t="shared" si="0"/>
        <v>0</v>
      </c>
    </row>
    <row r="25" spans="1:8" x14ac:dyDescent="0.3">
      <c r="A25" s="136"/>
      <c r="B25" s="33" t="s">
        <v>86</v>
      </c>
      <c r="C25" s="9" t="s">
        <v>10</v>
      </c>
      <c r="D25" s="9"/>
      <c r="E25" s="9">
        <v>2</v>
      </c>
      <c r="F25" s="32">
        <v>2</v>
      </c>
      <c r="G25" s="215"/>
      <c r="H25" s="313">
        <f t="shared" si="0"/>
        <v>0</v>
      </c>
    </row>
    <row r="26" spans="1:8" x14ac:dyDescent="0.3">
      <c r="A26" s="136"/>
      <c r="B26" s="33" t="s">
        <v>87</v>
      </c>
      <c r="C26" s="9" t="s">
        <v>10</v>
      </c>
      <c r="D26" s="9"/>
      <c r="E26" s="9">
        <v>5</v>
      </c>
      <c r="F26" s="32">
        <v>1</v>
      </c>
      <c r="G26" s="215"/>
      <c r="H26" s="313">
        <f t="shared" si="0"/>
        <v>0</v>
      </c>
    </row>
    <row r="27" spans="1:8" x14ac:dyDescent="0.3">
      <c r="A27" s="139"/>
      <c r="B27" s="33" t="s">
        <v>57</v>
      </c>
      <c r="C27" s="9" t="s">
        <v>10</v>
      </c>
      <c r="D27" s="9"/>
      <c r="E27" s="9">
        <f>E21+E22+E23+E25+E26</f>
        <v>15</v>
      </c>
      <c r="F27" s="32">
        <v>1</v>
      </c>
      <c r="G27" s="487"/>
      <c r="H27" s="313">
        <f t="shared" si="0"/>
        <v>0</v>
      </c>
    </row>
    <row r="28" spans="1:8" x14ac:dyDescent="0.3">
      <c r="A28" s="139"/>
      <c r="B28" s="33" t="s">
        <v>88</v>
      </c>
      <c r="C28" s="9" t="s">
        <v>10</v>
      </c>
      <c r="D28" s="9"/>
      <c r="E28" s="9">
        <f>E27</f>
        <v>15</v>
      </c>
      <c r="F28" s="32">
        <v>1</v>
      </c>
      <c r="G28" s="215"/>
      <c r="H28" s="313">
        <f t="shared" si="0"/>
        <v>0</v>
      </c>
    </row>
    <row r="29" spans="1:8" x14ac:dyDescent="0.3">
      <c r="A29" s="139"/>
      <c r="B29" s="31"/>
      <c r="C29" s="7"/>
      <c r="D29" s="7"/>
      <c r="E29" s="7"/>
      <c r="F29" s="8"/>
      <c r="G29" s="216"/>
      <c r="H29" s="312"/>
    </row>
    <row r="30" spans="1:8" x14ac:dyDescent="0.3">
      <c r="A30" s="139">
        <v>3</v>
      </c>
      <c r="B30" s="6" t="s">
        <v>33</v>
      </c>
      <c r="C30" s="7"/>
      <c r="D30" s="7"/>
      <c r="E30" s="7"/>
      <c r="F30" s="8"/>
      <c r="G30" s="216"/>
      <c r="H30" s="311"/>
    </row>
    <row r="31" spans="1:8" x14ac:dyDescent="0.3">
      <c r="A31" s="139"/>
      <c r="B31" s="6"/>
      <c r="C31" s="8"/>
      <c r="D31" s="170"/>
      <c r="E31" s="7"/>
      <c r="F31" s="8"/>
      <c r="G31" s="216"/>
      <c r="H31" s="311"/>
    </row>
    <row r="32" spans="1:8" x14ac:dyDescent="0.3">
      <c r="A32" s="138"/>
      <c r="B32" s="172" t="s">
        <v>34</v>
      </c>
      <c r="C32" s="173"/>
      <c r="D32" s="513"/>
      <c r="E32" s="174"/>
      <c r="F32" s="41"/>
      <c r="G32" s="479"/>
      <c r="H32" s="314"/>
    </row>
    <row r="33" spans="1:10" s="547" customFormat="1" ht="19.5" customHeight="1" x14ac:dyDescent="0.3">
      <c r="A33" s="568"/>
      <c r="B33" s="581" t="s">
        <v>235</v>
      </c>
      <c r="C33" s="543"/>
      <c r="D33" s="576" t="s">
        <v>10</v>
      </c>
      <c r="E33" s="577">
        <v>1</v>
      </c>
      <c r="F33" s="576">
        <v>1</v>
      </c>
      <c r="G33" s="578"/>
      <c r="H33" s="579">
        <f>+E33*F33*G33</f>
        <v>0</v>
      </c>
      <c r="I33" s="549"/>
      <c r="J33" s="570" t="s">
        <v>353</v>
      </c>
    </row>
    <row r="34" spans="1:10" x14ac:dyDescent="0.3">
      <c r="A34" s="175"/>
      <c r="B34" s="176" t="s">
        <v>298</v>
      </c>
      <c r="C34" s="42"/>
      <c r="D34" s="42"/>
      <c r="E34" s="36"/>
      <c r="F34" s="42"/>
      <c r="G34" s="207"/>
      <c r="H34" s="315"/>
    </row>
    <row r="35" spans="1:10" x14ac:dyDescent="0.3">
      <c r="A35" s="175"/>
      <c r="B35" s="176"/>
      <c r="C35" s="42"/>
      <c r="D35" s="42"/>
      <c r="E35" s="36"/>
      <c r="F35" s="42"/>
      <c r="G35" s="207"/>
      <c r="H35" s="315"/>
    </row>
    <row r="36" spans="1:10" x14ac:dyDescent="0.3">
      <c r="A36" s="175"/>
      <c r="B36" s="177" t="s">
        <v>90</v>
      </c>
      <c r="C36" s="36"/>
      <c r="D36" s="36" t="s">
        <v>10</v>
      </c>
      <c r="E36" s="36">
        <v>1</v>
      </c>
      <c r="F36" s="42">
        <v>1</v>
      </c>
      <c r="G36" s="207"/>
      <c r="H36" s="315">
        <f>+E36*F36*G36</f>
        <v>0</v>
      </c>
    </row>
    <row r="37" spans="1:10" x14ac:dyDescent="0.3">
      <c r="A37" s="175"/>
      <c r="B37" s="178" t="s">
        <v>280</v>
      </c>
      <c r="C37" s="36"/>
      <c r="D37" s="36"/>
      <c r="E37" s="36">
        <v>1</v>
      </c>
      <c r="F37" s="42">
        <v>1</v>
      </c>
      <c r="G37" s="207"/>
      <c r="H37" s="315">
        <f>+E37*F37*G37</f>
        <v>0</v>
      </c>
    </row>
    <row r="38" spans="1:10" x14ac:dyDescent="0.3">
      <c r="A38" s="175"/>
      <c r="B38" s="178" t="s">
        <v>281</v>
      </c>
      <c r="C38" s="36"/>
      <c r="D38" s="36"/>
      <c r="E38" s="36">
        <v>4</v>
      </c>
      <c r="F38" s="42">
        <v>1</v>
      </c>
      <c r="G38" s="207"/>
      <c r="H38" s="315"/>
    </row>
    <row r="39" spans="1:10" x14ac:dyDescent="0.3">
      <c r="A39" s="139"/>
      <c r="B39" s="52" t="s">
        <v>89</v>
      </c>
      <c r="C39" s="10" t="s">
        <v>10</v>
      </c>
      <c r="D39" s="10"/>
      <c r="E39" s="9">
        <v>1</v>
      </c>
      <c r="F39" s="10">
        <v>1</v>
      </c>
      <c r="G39" s="222"/>
      <c r="H39" s="309"/>
    </row>
    <row r="40" spans="1:10" x14ac:dyDescent="0.3">
      <c r="A40" s="139"/>
      <c r="B40" s="51"/>
      <c r="C40" s="10"/>
      <c r="D40" s="10"/>
      <c r="E40" s="9"/>
      <c r="F40" s="10"/>
      <c r="G40" s="222"/>
      <c r="H40" s="309"/>
    </row>
    <row r="41" spans="1:10" x14ac:dyDescent="0.3">
      <c r="A41" s="139"/>
      <c r="B41" s="51" t="s">
        <v>282</v>
      </c>
      <c r="C41" s="10"/>
      <c r="D41" s="10" t="s">
        <v>10</v>
      </c>
      <c r="E41" s="9">
        <v>2</v>
      </c>
      <c r="F41" s="10">
        <v>1</v>
      </c>
      <c r="G41" s="222"/>
      <c r="H41" s="315">
        <f>+E41*F41*G41</f>
        <v>0</v>
      </c>
    </row>
    <row r="42" spans="1:10" x14ac:dyDescent="0.3">
      <c r="A42" s="175"/>
      <c r="B42" s="179"/>
      <c r="C42" s="42"/>
      <c r="D42" s="42"/>
      <c r="E42" s="36"/>
      <c r="F42" s="42"/>
      <c r="G42" s="207"/>
      <c r="H42" s="315"/>
    </row>
    <row r="43" spans="1:10" x14ac:dyDescent="0.3">
      <c r="A43" s="180"/>
      <c r="B43" s="181" t="s">
        <v>91</v>
      </c>
      <c r="C43" s="42" t="s">
        <v>10</v>
      </c>
      <c r="D43" s="42"/>
      <c r="E43" s="36">
        <v>1</v>
      </c>
      <c r="F43" s="42">
        <v>1</v>
      </c>
      <c r="G43" s="207"/>
      <c r="H43" s="309"/>
    </row>
    <row r="44" spans="1:10" x14ac:dyDescent="0.3">
      <c r="A44" s="136"/>
      <c r="B44" s="56" t="s">
        <v>283</v>
      </c>
      <c r="C44" s="10"/>
      <c r="D44" s="10"/>
      <c r="E44" s="9">
        <v>1</v>
      </c>
      <c r="F44" s="10">
        <v>1</v>
      </c>
      <c r="G44" s="222"/>
      <c r="H44" s="309">
        <f>E44*F44*G44</f>
        <v>0</v>
      </c>
    </row>
    <row r="45" spans="1:10" x14ac:dyDescent="0.3">
      <c r="A45" s="136"/>
      <c r="B45" s="56" t="s">
        <v>89</v>
      </c>
      <c r="C45" s="10" t="s">
        <v>10</v>
      </c>
      <c r="D45" s="10"/>
      <c r="E45" s="9">
        <v>1</v>
      </c>
      <c r="F45" s="10">
        <v>1</v>
      </c>
      <c r="G45" s="222"/>
      <c r="H45" s="309">
        <f>E45*F45*G45</f>
        <v>0</v>
      </c>
    </row>
    <row r="46" spans="1:10" x14ac:dyDescent="0.3">
      <c r="A46" s="180"/>
      <c r="B46" s="182"/>
      <c r="C46" s="42"/>
      <c r="D46" s="42"/>
      <c r="E46" s="36"/>
      <c r="F46" s="42"/>
      <c r="G46" s="207"/>
      <c r="H46" s="315"/>
    </row>
    <row r="47" spans="1:10" x14ac:dyDescent="0.3">
      <c r="A47" s="180"/>
      <c r="B47" s="181" t="s">
        <v>297</v>
      </c>
      <c r="C47" s="42" t="s">
        <v>10</v>
      </c>
      <c r="D47" s="42"/>
      <c r="E47" s="36">
        <v>1</v>
      </c>
      <c r="F47" s="42">
        <v>1</v>
      </c>
      <c r="G47" s="207"/>
      <c r="H47" s="315">
        <f>+E47*F47*G47</f>
        <v>0</v>
      </c>
    </row>
    <row r="48" spans="1:10" x14ac:dyDescent="0.3">
      <c r="A48" s="175"/>
      <c r="B48" s="178" t="s">
        <v>284</v>
      </c>
      <c r="C48" s="42"/>
      <c r="D48" s="42"/>
      <c r="E48" s="9">
        <v>1</v>
      </c>
      <c r="F48" s="10">
        <v>1</v>
      </c>
      <c r="G48" s="207"/>
      <c r="H48" s="315">
        <f>+E48*F48*G48</f>
        <v>0</v>
      </c>
    </row>
    <row r="49" spans="1:15" x14ac:dyDescent="0.3">
      <c r="A49" s="139"/>
      <c r="B49" s="183" t="s">
        <v>236</v>
      </c>
      <c r="C49" s="10" t="s">
        <v>10</v>
      </c>
      <c r="D49" s="10"/>
      <c r="E49" s="9">
        <v>1</v>
      </c>
      <c r="F49" s="9">
        <v>1</v>
      </c>
      <c r="G49" s="207"/>
      <c r="H49" s="315">
        <f>+E49*F49*G49</f>
        <v>0</v>
      </c>
    </row>
    <row r="50" spans="1:15" x14ac:dyDescent="0.3">
      <c r="A50" s="136"/>
      <c r="B50" s="56" t="s">
        <v>89</v>
      </c>
      <c r="C50" s="10" t="s">
        <v>10</v>
      </c>
      <c r="D50" s="10"/>
      <c r="E50" s="9">
        <v>1</v>
      </c>
      <c r="F50" s="10">
        <v>1</v>
      </c>
      <c r="G50" s="222"/>
      <c r="H50" s="309"/>
    </row>
    <row r="51" spans="1:15" s="593" customFormat="1" x14ac:dyDescent="0.3">
      <c r="A51" s="591"/>
      <c r="B51" s="575" t="s">
        <v>366</v>
      </c>
      <c r="C51" s="576" t="s">
        <v>10</v>
      </c>
      <c r="D51" s="576"/>
      <c r="E51" s="577">
        <v>1</v>
      </c>
      <c r="F51" s="577">
        <v>1</v>
      </c>
      <c r="G51" s="578"/>
      <c r="H51" s="579">
        <f>+E51*F51*G51</f>
        <v>0</v>
      </c>
      <c r="I51" s="592"/>
      <c r="J51" s="593" t="s">
        <v>365</v>
      </c>
    </row>
    <row r="52" spans="1:15" x14ac:dyDescent="0.3">
      <c r="A52" s="175"/>
      <c r="B52" s="178" t="s">
        <v>92</v>
      </c>
      <c r="C52" s="42"/>
      <c r="D52" s="42"/>
      <c r="E52" s="9">
        <v>2</v>
      </c>
      <c r="F52" s="10">
        <v>1</v>
      </c>
      <c r="G52" s="207"/>
      <c r="H52" s="315">
        <f>+E52*F52*G52</f>
        <v>0</v>
      </c>
    </row>
    <row r="53" spans="1:15" x14ac:dyDescent="0.3">
      <c r="A53" s="175"/>
      <c r="B53" s="178" t="s">
        <v>93</v>
      </c>
      <c r="C53" s="10"/>
      <c r="D53" s="10"/>
      <c r="E53" s="9">
        <v>4</v>
      </c>
      <c r="F53" s="10">
        <v>1</v>
      </c>
      <c r="G53" s="207"/>
      <c r="H53" s="315">
        <f>+E53*F53*G53</f>
        <v>0</v>
      </c>
    </row>
    <row r="54" spans="1:15" x14ac:dyDescent="0.3">
      <c r="A54" s="175"/>
      <c r="B54" s="178" t="s">
        <v>94</v>
      </c>
      <c r="C54" s="10"/>
      <c r="D54" s="10"/>
      <c r="E54" s="9">
        <v>1</v>
      </c>
      <c r="F54" s="10">
        <v>1</v>
      </c>
      <c r="G54" s="207"/>
      <c r="H54" s="315">
        <f>+E54*F54*G54</f>
        <v>0</v>
      </c>
    </row>
    <row r="55" spans="1:15" x14ac:dyDescent="0.3">
      <c r="A55" s="139"/>
      <c r="B55" s="184" t="s">
        <v>95</v>
      </c>
      <c r="C55" s="10" t="s">
        <v>10</v>
      </c>
      <c r="D55" s="10"/>
      <c r="E55" s="9">
        <v>1</v>
      </c>
      <c r="F55" s="9">
        <v>1</v>
      </c>
      <c r="G55" s="222"/>
      <c r="H55" s="315">
        <f>+E55*F55*G55</f>
        <v>0</v>
      </c>
    </row>
    <row r="56" spans="1:15" x14ac:dyDescent="0.3">
      <c r="A56" s="175"/>
      <c r="B56" s="178"/>
      <c r="C56" s="42"/>
      <c r="D56" s="42"/>
      <c r="E56" s="36"/>
      <c r="F56" s="42"/>
      <c r="G56" s="207"/>
      <c r="H56" s="315"/>
    </row>
    <row r="57" spans="1:15" s="547" customFormat="1" ht="15.75" customHeight="1" x14ac:dyDescent="0.3">
      <c r="A57" s="548"/>
      <c r="B57" s="580" t="s">
        <v>285</v>
      </c>
      <c r="C57" s="576" t="s">
        <v>10</v>
      </c>
      <c r="D57" s="576"/>
      <c r="E57" s="577">
        <v>1</v>
      </c>
      <c r="F57" s="577">
        <v>1</v>
      </c>
      <c r="G57" s="578"/>
      <c r="H57" s="579">
        <f>+E57*F57*G57</f>
        <v>0</v>
      </c>
      <c r="I57" s="549"/>
      <c r="J57" s="550" t="s">
        <v>360</v>
      </c>
    </row>
    <row r="58" spans="1:15" x14ac:dyDescent="0.3">
      <c r="A58" s="136"/>
      <c r="B58" s="56" t="s">
        <v>89</v>
      </c>
      <c r="C58" s="10" t="s">
        <v>10</v>
      </c>
      <c r="D58" s="10"/>
      <c r="E58" s="9">
        <v>1</v>
      </c>
      <c r="F58" s="10">
        <v>1</v>
      </c>
      <c r="G58" s="222"/>
      <c r="H58" s="309"/>
    </row>
    <row r="59" spans="1:15" x14ac:dyDescent="0.3">
      <c r="A59" s="175"/>
      <c r="B59" s="178" t="s">
        <v>96</v>
      </c>
      <c r="C59" s="42"/>
      <c r="D59" s="42"/>
      <c r="E59" s="9">
        <v>1</v>
      </c>
      <c r="F59" s="10">
        <v>1</v>
      </c>
      <c r="G59" s="207"/>
      <c r="H59" s="315">
        <f t="shared" ref="H59:H64" si="1">+E59*F59*G59</f>
        <v>0</v>
      </c>
    </row>
    <row r="60" spans="1:15" x14ac:dyDescent="0.3">
      <c r="A60" s="175"/>
      <c r="B60" s="178" t="s">
        <v>97</v>
      </c>
      <c r="C60" s="42"/>
      <c r="D60" s="42"/>
      <c r="E60" s="9">
        <v>1</v>
      </c>
      <c r="F60" s="10">
        <v>1</v>
      </c>
      <c r="G60" s="207"/>
      <c r="H60" s="315">
        <f t="shared" si="1"/>
        <v>0</v>
      </c>
    </row>
    <row r="61" spans="1:15" x14ac:dyDescent="0.3">
      <c r="A61" s="139"/>
      <c r="B61" s="183" t="s">
        <v>236</v>
      </c>
      <c r="C61" s="10" t="s">
        <v>10</v>
      </c>
      <c r="D61" s="10"/>
      <c r="E61" s="9">
        <v>1</v>
      </c>
      <c r="F61" s="9">
        <v>1</v>
      </c>
      <c r="G61" s="207"/>
      <c r="H61" s="315">
        <f t="shared" si="1"/>
        <v>0</v>
      </c>
    </row>
    <row r="62" spans="1:15" s="547" customFormat="1" ht="27.6" x14ac:dyDescent="0.3">
      <c r="A62" s="568"/>
      <c r="B62" s="575" t="s">
        <v>361</v>
      </c>
      <c r="C62" s="576" t="s">
        <v>10</v>
      </c>
      <c r="D62" s="576"/>
      <c r="E62" s="577">
        <v>1</v>
      </c>
      <c r="F62" s="576">
        <v>1</v>
      </c>
      <c r="G62" s="578"/>
      <c r="H62" s="579">
        <f t="shared" si="1"/>
        <v>0</v>
      </c>
      <c r="I62" s="549"/>
      <c r="J62" s="569" t="s">
        <v>354</v>
      </c>
      <c r="O62" s="547" t="s">
        <v>358</v>
      </c>
    </row>
    <row r="63" spans="1:15" x14ac:dyDescent="0.3">
      <c r="A63" s="175"/>
      <c r="B63" s="178" t="s">
        <v>98</v>
      </c>
      <c r="C63" s="42"/>
      <c r="D63" s="42"/>
      <c r="E63" s="36">
        <v>1</v>
      </c>
      <c r="F63" s="42">
        <v>1</v>
      </c>
      <c r="G63" s="207"/>
      <c r="H63" s="315">
        <f t="shared" si="1"/>
        <v>0</v>
      </c>
    </row>
    <row r="64" spans="1:15" x14ac:dyDescent="0.3">
      <c r="A64" s="175"/>
      <c r="B64" s="178" t="s">
        <v>99</v>
      </c>
      <c r="C64" s="42"/>
      <c r="D64" s="42"/>
      <c r="E64" s="36">
        <v>3</v>
      </c>
      <c r="F64" s="42">
        <v>1</v>
      </c>
      <c r="G64" s="207"/>
      <c r="H64" s="315">
        <f t="shared" si="1"/>
        <v>0</v>
      </c>
    </row>
    <row r="65" spans="1:9" x14ac:dyDescent="0.3">
      <c r="A65" s="139"/>
      <c r="B65" s="185" t="s">
        <v>100</v>
      </c>
      <c r="C65" s="10"/>
      <c r="D65" s="10"/>
      <c r="E65" s="9">
        <v>3</v>
      </c>
      <c r="F65" s="10">
        <v>1</v>
      </c>
      <c r="G65" s="216"/>
      <c r="H65" s="311"/>
    </row>
    <row r="66" spans="1:9" x14ac:dyDescent="0.3">
      <c r="A66" s="175"/>
      <c r="B66" s="178"/>
      <c r="C66" s="42"/>
      <c r="D66" s="42"/>
      <c r="E66" s="36"/>
      <c r="F66" s="42"/>
      <c r="G66" s="207"/>
      <c r="H66" s="315"/>
    </row>
    <row r="67" spans="1:9" x14ac:dyDescent="0.3">
      <c r="A67" s="139"/>
      <c r="B67" s="480" t="s">
        <v>286</v>
      </c>
      <c r="C67" s="10" t="s">
        <v>10</v>
      </c>
      <c r="D67" s="10"/>
      <c r="E67" s="9">
        <v>1</v>
      </c>
      <c r="F67" s="9">
        <v>1</v>
      </c>
      <c r="G67" s="207"/>
      <c r="H67" s="315">
        <f>E67*F67*G67</f>
        <v>0</v>
      </c>
    </row>
    <row r="68" spans="1:9" s="452" customFormat="1" ht="19.5" customHeight="1" x14ac:dyDescent="0.3">
      <c r="A68" s="448"/>
      <c r="B68" s="449" t="s">
        <v>287</v>
      </c>
      <c r="C68" s="450">
        <v>1</v>
      </c>
      <c r="D68" s="450"/>
      <c r="E68" s="450">
        <v>1</v>
      </c>
      <c r="F68" s="451"/>
      <c r="G68" s="504"/>
      <c r="H68" s="507"/>
    </row>
    <row r="69" spans="1:9" x14ac:dyDescent="0.3">
      <c r="A69" s="187"/>
      <c r="B69" s="186" t="s">
        <v>101</v>
      </c>
      <c r="C69" s="42" t="s">
        <v>10</v>
      </c>
      <c r="D69" s="42"/>
      <c r="E69" s="36">
        <v>3</v>
      </c>
      <c r="F69" s="42">
        <v>1</v>
      </c>
      <c r="G69" s="207"/>
      <c r="H69" s="315"/>
    </row>
    <row r="70" spans="1:9" x14ac:dyDescent="0.3">
      <c r="A70" s="139"/>
      <c r="B70" s="188" t="s">
        <v>99</v>
      </c>
      <c r="C70" s="10" t="s">
        <v>10</v>
      </c>
      <c r="D70" s="10"/>
      <c r="E70" s="9">
        <f>3*2</f>
        <v>6</v>
      </c>
      <c r="F70" s="9">
        <v>1</v>
      </c>
      <c r="G70" s="207"/>
      <c r="H70" s="315">
        <f>+E70*F70*G70</f>
        <v>0</v>
      </c>
    </row>
    <row r="71" spans="1:9" x14ac:dyDescent="0.3">
      <c r="A71" s="139"/>
      <c r="B71" s="184" t="s">
        <v>102</v>
      </c>
      <c r="C71" s="10" t="s">
        <v>10</v>
      </c>
      <c r="D71" s="10"/>
      <c r="E71" s="9">
        <v>1</v>
      </c>
      <c r="F71" s="9">
        <v>1</v>
      </c>
      <c r="G71" s="216"/>
      <c r="H71" s="311"/>
    </row>
    <row r="72" spans="1:9" x14ac:dyDescent="0.3">
      <c r="A72" s="139"/>
      <c r="B72" s="185" t="s">
        <v>103</v>
      </c>
      <c r="C72" s="10"/>
      <c r="D72" s="10"/>
      <c r="E72" s="9">
        <v>3</v>
      </c>
      <c r="F72" s="10">
        <v>1</v>
      </c>
      <c r="G72" s="216"/>
      <c r="H72" s="311"/>
    </row>
    <row r="73" spans="1:9" x14ac:dyDescent="0.3">
      <c r="A73" s="136"/>
      <c r="B73" s="56" t="s">
        <v>89</v>
      </c>
      <c r="C73" s="10" t="s">
        <v>10</v>
      </c>
      <c r="D73" s="10"/>
      <c r="E73" s="9">
        <v>1</v>
      </c>
      <c r="F73" s="10">
        <v>1</v>
      </c>
      <c r="G73" s="222"/>
      <c r="H73" s="309">
        <f>E73*F73*G73</f>
        <v>0</v>
      </c>
    </row>
    <row r="74" spans="1:9" x14ac:dyDescent="0.3">
      <c r="A74" s="138"/>
      <c r="B74" s="178"/>
      <c r="C74" s="10"/>
      <c r="D74" s="10"/>
      <c r="E74" s="9"/>
      <c r="F74" s="10"/>
      <c r="G74" s="222"/>
      <c r="H74" s="315">
        <f>+E74*F74*G74</f>
        <v>0</v>
      </c>
    </row>
    <row r="75" spans="1:9" x14ac:dyDescent="0.3">
      <c r="A75" s="138"/>
      <c r="B75" s="189" t="s">
        <v>295</v>
      </c>
      <c r="C75" s="190"/>
      <c r="D75" s="190"/>
      <c r="E75" s="41"/>
      <c r="F75" s="41"/>
      <c r="G75" s="479"/>
      <c r="H75" s="314"/>
    </row>
    <row r="76" spans="1:9" customFormat="1" x14ac:dyDescent="0.3">
      <c r="A76" s="519"/>
      <c r="B76" s="520" t="s">
        <v>104</v>
      </c>
      <c r="C76" s="168" t="s">
        <v>10</v>
      </c>
      <c r="D76" s="168"/>
      <c r="E76" s="476">
        <v>2</v>
      </c>
      <c r="F76" s="476">
        <v>1</v>
      </c>
      <c r="G76" s="521"/>
      <c r="H76" s="522">
        <f>+E76*F76*G76</f>
        <v>0</v>
      </c>
      <c r="I76" s="523"/>
    </row>
    <row r="77" spans="1:9" x14ac:dyDescent="0.3">
      <c r="A77" s="139"/>
      <c r="B77" s="183" t="s">
        <v>105</v>
      </c>
      <c r="C77" s="10" t="s">
        <v>10</v>
      </c>
      <c r="D77" s="10"/>
      <c r="E77" s="9">
        <v>2</v>
      </c>
      <c r="F77" s="9">
        <v>1</v>
      </c>
      <c r="G77" s="207"/>
      <c r="H77" s="315"/>
    </row>
    <row r="78" spans="1:9" x14ac:dyDescent="0.3">
      <c r="A78" s="139"/>
      <c r="B78" s="183" t="s">
        <v>113</v>
      </c>
      <c r="C78" s="10" t="s">
        <v>10</v>
      </c>
      <c r="D78" s="10"/>
      <c r="E78" s="9">
        <v>2</v>
      </c>
      <c r="F78" s="9">
        <v>1</v>
      </c>
      <c r="G78" s="207"/>
      <c r="H78" s="315"/>
    </row>
    <row r="79" spans="1:9" x14ac:dyDescent="0.3">
      <c r="A79" s="136"/>
      <c r="B79" s="56" t="s">
        <v>89</v>
      </c>
      <c r="C79" s="10" t="s">
        <v>10</v>
      </c>
      <c r="D79" s="10"/>
      <c r="E79" s="9">
        <v>1</v>
      </c>
      <c r="F79" s="10">
        <v>1</v>
      </c>
      <c r="G79" s="222"/>
      <c r="H79" s="309">
        <f>E79*F79*G79</f>
        <v>0</v>
      </c>
    </row>
    <row r="80" spans="1:9" x14ac:dyDescent="0.3">
      <c r="A80" s="139"/>
      <c r="B80" s="183" t="s">
        <v>292</v>
      </c>
      <c r="C80" s="10"/>
      <c r="D80" s="10"/>
      <c r="E80" s="9">
        <f>2*2</f>
        <v>4</v>
      </c>
      <c r="F80" s="9">
        <v>1</v>
      </c>
      <c r="G80" s="207"/>
      <c r="H80" s="315"/>
    </row>
    <row r="81" spans="1:10" x14ac:dyDescent="0.3">
      <c r="A81" s="139"/>
      <c r="B81" s="183" t="s">
        <v>106</v>
      </c>
      <c r="C81" s="10"/>
      <c r="D81" s="10"/>
      <c r="E81" s="9">
        <f>1*2</f>
        <v>2</v>
      </c>
      <c r="F81" s="9">
        <v>1</v>
      </c>
      <c r="G81" s="207"/>
      <c r="H81" s="315">
        <f>+E81*F81*G81</f>
        <v>0</v>
      </c>
    </row>
    <row r="82" spans="1:10" ht="21" customHeight="1" x14ac:dyDescent="0.3">
      <c r="A82" s="139"/>
      <c r="B82" s="183" t="s">
        <v>107</v>
      </c>
      <c r="C82" s="10" t="s">
        <v>10</v>
      </c>
      <c r="D82" s="10"/>
      <c r="E82" s="9">
        <f>2*3</f>
        <v>6</v>
      </c>
      <c r="F82" s="9">
        <v>1</v>
      </c>
      <c r="G82" s="207"/>
      <c r="H82" s="315">
        <f>+E82*F82*G82</f>
        <v>0</v>
      </c>
      <c r="J82" s="550" t="s">
        <v>355</v>
      </c>
    </row>
    <row r="83" spans="1:10" x14ac:dyDescent="0.3">
      <c r="A83" s="139"/>
      <c r="B83" s="185" t="s">
        <v>109</v>
      </c>
      <c r="C83" s="10" t="s">
        <v>10</v>
      </c>
      <c r="D83" s="10"/>
      <c r="E83" s="9">
        <f>8*2</f>
        <v>16</v>
      </c>
      <c r="F83" s="10">
        <v>1</v>
      </c>
      <c r="G83" s="207"/>
      <c r="H83" s="315">
        <f>E83*F83*G83</f>
        <v>0</v>
      </c>
    </row>
    <row r="84" spans="1:10" x14ac:dyDescent="0.3">
      <c r="A84" s="138"/>
      <c r="B84" s="178"/>
      <c r="C84" s="10"/>
      <c r="D84" s="10"/>
      <c r="E84" s="9"/>
      <c r="F84" s="10"/>
      <c r="G84" s="505"/>
      <c r="H84" s="314"/>
    </row>
    <row r="85" spans="1:10" x14ac:dyDescent="0.3">
      <c r="A85" s="138"/>
      <c r="B85" s="189" t="s">
        <v>254</v>
      </c>
      <c r="C85" s="190"/>
      <c r="D85" s="190"/>
      <c r="E85" s="41"/>
      <c r="F85" s="41"/>
      <c r="G85" s="479"/>
      <c r="H85" s="314"/>
    </row>
    <row r="86" spans="1:10" customFormat="1" x14ac:dyDescent="0.3">
      <c r="A86" s="519"/>
      <c r="B86" s="520" t="s">
        <v>104</v>
      </c>
      <c r="C86" s="168" t="s">
        <v>10</v>
      </c>
      <c r="D86" s="168"/>
      <c r="E86" s="476">
        <v>1</v>
      </c>
      <c r="F86" s="476">
        <v>1</v>
      </c>
      <c r="G86" s="521"/>
      <c r="H86" s="522">
        <f>+E86*F86*G86</f>
        <v>0</v>
      </c>
      <c r="I86" s="523"/>
    </row>
    <row r="87" spans="1:10" x14ac:dyDescent="0.3">
      <c r="A87" s="139"/>
      <c r="B87" s="183" t="s">
        <v>105</v>
      </c>
      <c r="C87" s="10" t="s">
        <v>10</v>
      </c>
      <c r="D87" s="10"/>
      <c r="E87" s="9">
        <v>1</v>
      </c>
      <c r="F87" s="9">
        <v>1</v>
      </c>
      <c r="G87" s="207"/>
      <c r="H87" s="315"/>
    </row>
    <row r="88" spans="1:10" x14ac:dyDescent="0.3">
      <c r="A88" s="139"/>
      <c r="B88" s="183" t="s">
        <v>113</v>
      </c>
      <c r="C88" s="10" t="s">
        <v>10</v>
      </c>
      <c r="D88" s="10"/>
      <c r="E88" s="9">
        <v>1</v>
      </c>
      <c r="F88" s="9">
        <v>1</v>
      </c>
      <c r="G88" s="207"/>
      <c r="H88" s="315"/>
    </row>
    <row r="89" spans="1:10" x14ac:dyDescent="0.3">
      <c r="A89" s="136"/>
      <c r="B89" s="56" t="s">
        <v>89</v>
      </c>
      <c r="C89" s="10" t="s">
        <v>10</v>
      </c>
      <c r="D89" s="10"/>
      <c r="E89" s="9">
        <v>1</v>
      </c>
      <c r="F89" s="10">
        <v>1</v>
      </c>
      <c r="G89" s="222"/>
      <c r="H89" s="309">
        <f>E89*F89*G89</f>
        <v>0</v>
      </c>
    </row>
    <row r="90" spans="1:10" x14ac:dyDescent="0.3">
      <c r="A90" s="139"/>
      <c r="B90" s="183" t="s">
        <v>292</v>
      </c>
      <c r="C90" s="10"/>
      <c r="D90" s="10"/>
      <c r="E90" s="9">
        <v>2</v>
      </c>
      <c r="F90" s="9">
        <v>1</v>
      </c>
      <c r="G90" s="207"/>
      <c r="H90" s="315"/>
    </row>
    <row r="91" spans="1:10" x14ac:dyDescent="0.3">
      <c r="A91" s="139"/>
      <c r="B91" s="183" t="s">
        <v>106</v>
      </c>
      <c r="C91" s="10"/>
      <c r="D91" s="10"/>
      <c r="E91" s="9">
        <v>2</v>
      </c>
      <c r="F91" s="9">
        <v>1</v>
      </c>
      <c r="G91" s="207"/>
      <c r="H91" s="315">
        <f t="shared" ref="H91" si="2">+E91*F91*G91</f>
        <v>0</v>
      </c>
    </row>
    <row r="92" spans="1:10" x14ac:dyDescent="0.3">
      <c r="A92" s="139"/>
      <c r="B92" s="183" t="s">
        <v>107</v>
      </c>
      <c r="C92" s="10" t="s">
        <v>10</v>
      </c>
      <c r="D92" s="10"/>
      <c r="E92" s="9">
        <v>3</v>
      </c>
      <c r="F92" s="9">
        <v>1</v>
      </c>
      <c r="G92" s="207"/>
      <c r="H92" s="315">
        <f>+E92*F92*G92</f>
        <v>0</v>
      </c>
    </row>
    <row r="93" spans="1:10" x14ac:dyDescent="0.3">
      <c r="A93" s="139"/>
      <c r="B93" s="185" t="s">
        <v>108</v>
      </c>
      <c r="C93" s="10" t="s">
        <v>10</v>
      </c>
      <c r="D93" s="10"/>
      <c r="E93" s="9">
        <v>1</v>
      </c>
      <c r="F93" s="10">
        <v>1</v>
      </c>
      <c r="G93" s="207"/>
      <c r="H93" s="315">
        <f>E93*F93*G93</f>
        <v>0</v>
      </c>
    </row>
    <row r="94" spans="1:10" x14ac:dyDescent="0.3">
      <c r="A94" s="139"/>
      <c r="B94" s="185" t="s">
        <v>109</v>
      </c>
      <c r="C94" s="10" t="s">
        <v>10</v>
      </c>
      <c r="D94" s="10"/>
      <c r="E94" s="9">
        <v>8</v>
      </c>
      <c r="F94" s="10">
        <v>1</v>
      </c>
      <c r="G94" s="207"/>
      <c r="H94" s="315">
        <f>E94*F94*G94</f>
        <v>0</v>
      </c>
    </row>
    <row r="95" spans="1:10" x14ac:dyDescent="0.3">
      <c r="A95" s="139"/>
      <c r="B95" s="185"/>
      <c r="C95" s="10"/>
      <c r="D95" s="10"/>
      <c r="E95" s="9"/>
      <c r="F95" s="10"/>
      <c r="G95" s="207"/>
      <c r="H95" s="315"/>
    </row>
    <row r="96" spans="1:10" x14ac:dyDescent="0.3">
      <c r="A96" s="138"/>
      <c r="B96" s="189" t="s">
        <v>110</v>
      </c>
      <c r="C96" s="190"/>
      <c r="D96" s="190"/>
      <c r="E96" s="41"/>
      <c r="F96" s="41"/>
      <c r="G96" s="479"/>
      <c r="H96" s="314"/>
    </row>
    <row r="97" spans="1:9" customFormat="1" x14ac:dyDescent="0.3">
      <c r="A97" s="519"/>
      <c r="B97" s="520" t="s">
        <v>111</v>
      </c>
      <c r="C97" s="168" t="s">
        <v>10</v>
      </c>
      <c r="D97" s="168"/>
      <c r="E97" s="476">
        <v>1</v>
      </c>
      <c r="F97" s="476">
        <v>1</v>
      </c>
      <c r="G97" s="521"/>
      <c r="H97" s="522">
        <f>+E97*F97*G97</f>
        <v>0</v>
      </c>
      <c r="I97" s="523"/>
    </row>
    <row r="98" spans="1:9" x14ac:dyDescent="0.3">
      <c r="A98" s="139"/>
      <c r="B98" s="183" t="s">
        <v>112</v>
      </c>
      <c r="C98" s="10" t="s">
        <v>10</v>
      </c>
      <c r="D98" s="10"/>
      <c r="E98" s="9">
        <v>1</v>
      </c>
      <c r="F98" s="9">
        <v>1</v>
      </c>
      <c r="G98" s="207"/>
      <c r="H98" s="315"/>
    </row>
    <row r="99" spans="1:9" x14ac:dyDescent="0.3">
      <c r="A99" s="139"/>
      <c r="B99" s="183" t="s">
        <v>113</v>
      </c>
      <c r="C99" s="10" t="s">
        <v>10</v>
      </c>
      <c r="D99" s="10"/>
      <c r="E99" s="9">
        <v>1</v>
      </c>
      <c r="F99" s="9">
        <v>1</v>
      </c>
      <c r="G99" s="207"/>
      <c r="H99" s="315"/>
    </row>
    <row r="100" spans="1:9" x14ac:dyDescent="0.3">
      <c r="A100" s="136"/>
      <c r="B100" s="56" t="s">
        <v>89</v>
      </c>
      <c r="C100" s="10" t="s">
        <v>10</v>
      </c>
      <c r="D100" s="10"/>
      <c r="E100" s="9">
        <v>1</v>
      </c>
      <c r="F100" s="10">
        <v>1</v>
      </c>
      <c r="G100" s="222"/>
      <c r="H100" s="309">
        <f>E100*F100*G100</f>
        <v>0</v>
      </c>
    </row>
    <row r="101" spans="1:9" x14ac:dyDescent="0.3">
      <c r="A101" s="139"/>
      <c r="B101" s="183" t="s">
        <v>292</v>
      </c>
      <c r="C101" s="10"/>
      <c r="D101" s="10"/>
      <c r="E101" s="9">
        <v>1</v>
      </c>
      <c r="F101" s="9">
        <v>1</v>
      </c>
      <c r="G101" s="207"/>
      <c r="H101" s="315"/>
    </row>
    <row r="102" spans="1:9" x14ac:dyDescent="0.3">
      <c r="A102" s="139"/>
      <c r="B102" s="183" t="s">
        <v>106</v>
      </c>
      <c r="C102" s="10"/>
      <c r="D102" s="10"/>
      <c r="E102" s="9">
        <v>1</v>
      </c>
      <c r="F102" s="9">
        <v>1</v>
      </c>
      <c r="G102" s="207"/>
      <c r="H102" s="315">
        <f t="shared" ref="H102" si="3">+E102*F102*G102</f>
        <v>0</v>
      </c>
    </row>
    <row r="103" spans="1:9" x14ac:dyDescent="0.3">
      <c r="A103" s="139"/>
      <c r="B103" s="183" t="s">
        <v>114</v>
      </c>
      <c r="C103" s="10" t="s">
        <v>10</v>
      </c>
      <c r="D103" s="10"/>
      <c r="E103" s="9">
        <v>2</v>
      </c>
      <c r="F103" s="9">
        <v>1</v>
      </c>
      <c r="G103" s="207"/>
      <c r="H103" s="315">
        <f>+E103*F103*G103</f>
        <v>0</v>
      </c>
    </row>
    <row r="104" spans="1:9" x14ac:dyDescent="0.3">
      <c r="A104" s="139"/>
      <c r="B104" s="185" t="s">
        <v>115</v>
      </c>
      <c r="C104" s="10" t="s">
        <v>10</v>
      </c>
      <c r="D104" s="10"/>
      <c r="E104" s="9">
        <v>5</v>
      </c>
      <c r="F104" s="10">
        <v>1</v>
      </c>
      <c r="G104" s="207"/>
      <c r="H104" s="315">
        <f>E104*F104*G104</f>
        <v>0</v>
      </c>
    </row>
    <row r="105" spans="1:9" x14ac:dyDescent="0.3">
      <c r="A105" s="139"/>
      <c r="B105" s="191"/>
      <c r="C105" s="10"/>
      <c r="D105" s="10"/>
      <c r="E105" s="9"/>
      <c r="F105" s="10"/>
      <c r="G105" s="207"/>
      <c r="H105" s="315"/>
    </row>
    <row r="106" spans="1:9" x14ac:dyDescent="0.3">
      <c r="A106" s="138"/>
      <c r="B106" s="189" t="s">
        <v>116</v>
      </c>
      <c r="C106" s="190"/>
      <c r="D106" s="190"/>
      <c r="E106" s="41"/>
      <c r="F106" s="41"/>
      <c r="G106" s="479"/>
      <c r="H106" s="314"/>
    </row>
    <row r="107" spans="1:9" customFormat="1" x14ac:dyDescent="0.3">
      <c r="A107" s="519"/>
      <c r="B107" s="520" t="s">
        <v>117</v>
      </c>
      <c r="C107" s="168" t="s">
        <v>10</v>
      </c>
      <c r="D107" s="168"/>
      <c r="E107" s="476">
        <v>7</v>
      </c>
      <c r="F107" s="476">
        <v>1</v>
      </c>
      <c r="G107" s="521"/>
      <c r="H107" s="522">
        <f>+E107*F107*G107</f>
        <v>0</v>
      </c>
      <c r="I107" s="523"/>
    </row>
    <row r="108" spans="1:9" x14ac:dyDescent="0.3">
      <c r="A108" s="139"/>
      <c r="B108" s="183" t="s">
        <v>118</v>
      </c>
      <c r="C108" s="10"/>
      <c r="D108" s="10"/>
      <c r="E108" s="9"/>
      <c r="F108" s="9"/>
      <c r="G108" s="207"/>
      <c r="H108" s="315"/>
    </row>
    <row r="109" spans="1:9" x14ac:dyDescent="0.3">
      <c r="A109" s="139"/>
      <c r="B109" s="183" t="s">
        <v>293</v>
      </c>
      <c r="C109" s="10"/>
      <c r="D109" s="10"/>
      <c r="E109" s="9">
        <v>7</v>
      </c>
      <c r="F109" s="9">
        <v>1</v>
      </c>
      <c r="G109" s="207"/>
      <c r="H109" s="315"/>
    </row>
    <row r="110" spans="1:9" x14ac:dyDescent="0.3">
      <c r="A110" s="139"/>
      <c r="B110" s="183" t="s">
        <v>113</v>
      </c>
      <c r="C110" s="10"/>
      <c r="D110" s="10"/>
      <c r="E110" s="9"/>
      <c r="F110" s="9"/>
      <c r="G110" s="207"/>
      <c r="H110" s="315"/>
    </row>
    <row r="111" spans="1:9" x14ac:dyDescent="0.3">
      <c r="A111" s="136"/>
      <c r="B111" s="56" t="s">
        <v>89</v>
      </c>
      <c r="C111" s="10" t="s">
        <v>10</v>
      </c>
      <c r="D111" s="10"/>
      <c r="E111" s="9">
        <v>1</v>
      </c>
      <c r="F111" s="10">
        <v>1</v>
      </c>
      <c r="G111" s="222"/>
      <c r="H111" s="309">
        <f>E111*F111*G111</f>
        <v>0</v>
      </c>
    </row>
    <row r="112" spans="1:9" x14ac:dyDescent="0.3">
      <c r="A112" s="139"/>
      <c r="B112" s="183" t="s">
        <v>114</v>
      </c>
      <c r="C112" s="10" t="s">
        <v>10</v>
      </c>
      <c r="D112" s="10"/>
      <c r="E112" s="9">
        <f>7*2</f>
        <v>14</v>
      </c>
      <c r="F112" s="9">
        <v>1</v>
      </c>
      <c r="G112" s="207"/>
      <c r="H112" s="315">
        <f>+E112*F112*G112</f>
        <v>0</v>
      </c>
    </row>
    <row r="113" spans="1:10" x14ac:dyDescent="0.3">
      <c r="A113" s="139"/>
      <c r="B113" s="185" t="s">
        <v>119</v>
      </c>
      <c r="C113" s="10" t="s">
        <v>10</v>
      </c>
      <c r="D113" s="10"/>
      <c r="E113" s="9">
        <f>3*7</f>
        <v>21</v>
      </c>
      <c r="F113" s="10">
        <v>1</v>
      </c>
      <c r="G113" s="207"/>
      <c r="H113" s="315">
        <f>E113*F113*G113</f>
        <v>0</v>
      </c>
    </row>
    <row r="114" spans="1:10" x14ac:dyDescent="0.3">
      <c r="A114" s="139"/>
      <c r="B114" s="191"/>
      <c r="C114" s="10"/>
      <c r="D114" s="10"/>
      <c r="E114" s="9"/>
      <c r="F114" s="10"/>
      <c r="G114" s="207"/>
      <c r="H114" s="315"/>
    </row>
    <row r="115" spans="1:10" x14ac:dyDescent="0.3">
      <c r="A115" s="138"/>
      <c r="B115" s="189" t="s">
        <v>120</v>
      </c>
      <c r="C115" s="190"/>
      <c r="D115" s="190"/>
      <c r="E115" s="41"/>
      <c r="F115" s="41"/>
      <c r="G115" s="479"/>
      <c r="H115" s="314"/>
    </row>
    <row r="116" spans="1:10" x14ac:dyDescent="0.3">
      <c r="A116" s="139"/>
      <c r="B116" s="183" t="s">
        <v>121</v>
      </c>
      <c r="C116" s="10" t="s">
        <v>10</v>
      </c>
      <c r="D116" s="10"/>
      <c r="E116" s="9">
        <v>1</v>
      </c>
      <c r="F116" s="9">
        <v>1</v>
      </c>
      <c r="G116" s="207"/>
      <c r="H116" s="315">
        <f>+E116*F116*G116</f>
        <v>0</v>
      </c>
    </row>
    <row r="117" spans="1:10" x14ac:dyDescent="0.3">
      <c r="A117" s="139"/>
      <c r="B117" s="183" t="s">
        <v>123</v>
      </c>
      <c r="C117" s="10"/>
      <c r="D117" s="10"/>
      <c r="E117" s="9"/>
      <c r="F117" s="9"/>
      <c r="G117" s="207"/>
      <c r="H117" s="315"/>
    </row>
    <row r="118" spans="1:10" x14ac:dyDescent="0.3">
      <c r="A118" s="139"/>
      <c r="B118" s="183" t="s">
        <v>122</v>
      </c>
      <c r="C118" s="10"/>
      <c r="D118" s="10"/>
      <c r="E118" s="9">
        <v>1</v>
      </c>
      <c r="F118" s="9">
        <v>1</v>
      </c>
      <c r="G118" s="207"/>
      <c r="H118" s="315">
        <f>+E118*F118*G118</f>
        <v>0</v>
      </c>
    </row>
    <row r="119" spans="1:10" x14ac:dyDescent="0.3">
      <c r="A119" s="139"/>
      <c r="B119" s="183" t="s">
        <v>113</v>
      </c>
      <c r="C119" s="10"/>
      <c r="D119" s="10"/>
      <c r="E119" s="9"/>
      <c r="F119" s="9"/>
      <c r="G119" s="207"/>
      <c r="H119" s="315"/>
    </row>
    <row r="120" spans="1:10" x14ac:dyDescent="0.3">
      <c r="A120" s="139"/>
      <c r="B120" s="183" t="s">
        <v>288</v>
      </c>
      <c r="C120" s="10"/>
      <c r="D120" s="10" t="s">
        <v>10</v>
      </c>
      <c r="E120" s="9">
        <v>1</v>
      </c>
      <c r="F120" s="10">
        <v>1</v>
      </c>
      <c r="G120" s="207"/>
      <c r="H120" s="315">
        <f>+E120*F120*G120</f>
        <v>0</v>
      </c>
    </row>
    <row r="121" spans="1:10" x14ac:dyDescent="0.3">
      <c r="A121" s="139"/>
      <c r="B121" s="52" t="s">
        <v>89</v>
      </c>
      <c r="C121" s="10" t="s">
        <v>10</v>
      </c>
      <c r="D121" s="10"/>
      <c r="E121" s="9">
        <v>1</v>
      </c>
      <c r="F121" s="10">
        <v>1</v>
      </c>
      <c r="G121" s="222"/>
      <c r="H121" s="309"/>
    </row>
    <row r="122" spans="1:10" x14ac:dyDescent="0.3">
      <c r="A122" s="139"/>
      <c r="B122" s="52" t="s">
        <v>289</v>
      </c>
      <c r="C122" s="10"/>
      <c r="D122" s="10"/>
      <c r="E122" s="9">
        <v>2</v>
      </c>
      <c r="F122" s="10">
        <v>1</v>
      </c>
      <c r="G122" s="222"/>
      <c r="H122" s="309">
        <f>E122*F122*G122</f>
        <v>0</v>
      </c>
    </row>
    <row r="123" spans="1:10" s="588" customFormat="1" ht="15.6" x14ac:dyDescent="0.3">
      <c r="A123" s="139"/>
      <c r="B123" s="574" t="s">
        <v>359</v>
      </c>
      <c r="C123" s="576" t="s">
        <v>10</v>
      </c>
      <c r="D123" s="576"/>
      <c r="E123" s="577">
        <f>6-2</f>
        <v>4</v>
      </c>
      <c r="F123" s="577">
        <v>1</v>
      </c>
      <c r="G123" s="578"/>
      <c r="H123" s="579">
        <f>+E123*F123*G123</f>
        <v>0</v>
      </c>
      <c r="I123" s="587"/>
      <c r="J123" s="550" t="s">
        <v>356</v>
      </c>
    </row>
    <row r="124" spans="1:10" x14ac:dyDescent="0.3">
      <c r="A124" s="175"/>
      <c r="B124" s="193"/>
      <c r="C124" s="42"/>
      <c r="D124" s="42"/>
      <c r="E124" s="36"/>
      <c r="F124" s="42"/>
      <c r="G124" s="207"/>
      <c r="H124" s="315"/>
    </row>
    <row r="125" spans="1:10" x14ac:dyDescent="0.3">
      <c r="A125" s="175" t="s">
        <v>124</v>
      </c>
      <c r="B125" s="194" t="s">
        <v>45</v>
      </c>
      <c r="C125" s="42"/>
      <c r="D125" s="42"/>
      <c r="E125" s="36"/>
      <c r="F125" s="42"/>
      <c r="G125" s="207"/>
      <c r="H125" s="315"/>
    </row>
    <row r="126" spans="1:10" x14ac:dyDescent="0.3">
      <c r="A126" s="175"/>
      <c r="B126" s="193" t="s">
        <v>125</v>
      </c>
      <c r="C126" s="42" t="s">
        <v>126</v>
      </c>
      <c r="D126" s="42"/>
      <c r="E126" s="36">
        <v>2</v>
      </c>
      <c r="F126" s="42">
        <v>1</v>
      </c>
      <c r="G126" s="207"/>
      <c r="H126" s="315">
        <f t="shared" ref="H126" si="4">+E126*F126*G126</f>
        <v>0</v>
      </c>
    </row>
    <row r="127" spans="1:10" x14ac:dyDescent="0.3">
      <c r="A127" s="175"/>
      <c r="B127" s="193" t="s">
        <v>127</v>
      </c>
      <c r="C127" s="42"/>
      <c r="D127" s="42"/>
      <c r="E127" s="36"/>
      <c r="F127" s="42"/>
      <c r="G127" s="207"/>
      <c r="H127" s="315"/>
    </row>
    <row r="128" spans="1:10" ht="15" thickBot="1" x14ac:dyDescent="0.35">
      <c r="A128" s="138"/>
      <c r="B128" s="195"/>
      <c r="C128" s="3"/>
      <c r="D128" s="3"/>
      <c r="E128" s="3"/>
      <c r="F128" s="3"/>
      <c r="G128" s="497"/>
      <c r="H128" s="314"/>
    </row>
    <row r="129" spans="1:8" ht="15" thickBot="1" x14ac:dyDescent="0.35">
      <c r="A129" s="196"/>
      <c r="B129" s="197"/>
      <c r="C129" s="197"/>
      <c r="D129" s="197"/>
      <c r="E129" s="197"/>
      <c r="F129" s="197"/>
      <c r="G129" s="197"/>
      <c r="H129" s="508">
        <f>SUM(H17:H128)</f>
        <v>0</v>
      </c>
    </row>
    <row r="130" spans="1:8" x14ac:dyDescent="0.3">
      <c r="A130" s="198"/>
      <c r="B130" s="16" t="s">
        <v>11</v>
      </c>
      <c r="C130" s="17"/>
      <c r="D130" s="17"/>
      <c r="E130" s="17"/>
      <c r="F130" s="17"/>
      <c r="G130" s="17"/>
      <c r="H130" s="509">
        <f>+H129</f>
        <v>0</v>
      </c>
    </row>
    <row r="131" spans="1:8" x14ac:dyDescent="0.3">
      <c r="A131" s="138"/>
      <c r="B131" s="21"/>
      <c r="C131" s="22"/>
      <c r="D131" s="22"/>
      <c r="E131" s="22"/>
      <c r="F131" s="22"/>
      <c r="G131" s="22"/>
      <c r="H131" s="509"/>
    </row>
    <row r="132" spans="1:8" x14ac:dyDescent="0.3">
      <c r="A132" s="138"/>
      <c r="B132" s="481"/>
      <c r="C132" s="163"/>
      <c r="D132" s="163"/>
      <c r="E132" s="163"/>
      <c r="F132" s="163"/>
      <c r="G132" s="163"/>
      <c r="H132" s="510"/>
    </row>
    <row r="133" spans="1:8" x14ac:dyDescent="0.3">
      <c r="A133" s="138"/>
      <c r="B133" s="481"/>
      <c r="C133" s="163"/>
      <c r="D133" s="163"/>
      <c r="E133" s="163"/>
      <c r="F133" s="163"/>
      <c r="G133" s="163"/>
      <c r="H133" s="502"/>
    </row>
    <row r="134" spans="1:8" ht="15" thickBot="1" x14ac:dyDescent="0.35">
      <c r="A134" s="140"/>
      <c r="B134" s="199"/>
      <c r="C134" s="102"/>
      <c r="D134" s="102"/>
      <c r="E134" s="102"/>
      <c r="F134" s="102"/>
      <c r="G134" s="102"/>
      <c r="H134" s="511"/>
    </row>
    <row r="137" spans="1:8" customFormat="1" ht="15.6" x14ac:dyDescent="0.3">
      <c r="A137" s="320" t="s">
        <v>202</v>
      </c>
      <c r="B137" s="320"/>
      <c r="C137" s="249"/>
      <c r="D137" s="249"/>
    </row>
    <row r="138" spans="1:8" customFormat="1" ht="15.6" x14ac:dyDescent="0.3">
      <c r="A138" s="270">
        <v>1</v>
      </c>
      <c r="B138" s="321" t="s">
        <v>203</v>
      </c>
      <c r="C138" s="249"/>
      <c r="D138" s="249"/>
    </row>
    <row r="139" spans="1:8" customFormat="1" ht="15.6" x14ac:dyDescent="0.3">
      <c r="A139" s="270">
        <v>2</v>
      </c>
      <c r="B139" s="321" t="s">
        <v>204</v>
      </c>
      <c r="C139" s="249"/>
      <c r="D139" s="249"/>
    </row>
    <row r="140" spans="1:8" customFormat="1" ht="15.6" x14ac:dyDescent="0.3">
      <c r="A140" s="270">
        <v>3</v>
      </c>
      <c r="B140" s="321" t="s">
        <v>205</v>
      </c>
      <c r="C140" s="249"/>
      <c r="D140" s="249"/>
    </row>
    <row r="141" spans="1:8" customFormat="1" ht="15.6" x14ac:dyDescent="0.3">
      <c r="A141" s="270">
        <v>4</v>
      </c>
      <c r="B141" s="322" t="s">
        <v>206</v>
      </c>
      <c r="C141" s="249"/>
      <c r="D141" s="249"/>
    </row>
    <row r="142" spans="1:8" customFormat="1" ht="15.6" x14ac:dyDescent="0.3">
      <c r="A142" s="270"/>
      <c r="B142" s="323" t="s">
        <v>207</v>
      </c>
      <c r="C142" s="249"/>
      <c r="D142" s="249"/>
    </row>
    <row r="143" spans="1:8" customFormat="1" ht="15.6" x14ac:dyDescent="0.3">
      <c r="A143" s="270"/>
      <c r="B143" s="322" t="s">
        <v>208</v>
      </c>
      <c r="C143" s="249"/>
      <c r="D143" s="249"/>
    </row>
    <row r="144" spans="1:8" customFormat="1" ht="15.6" x14ac:dyDescent="0.3">
      <c r="A144" s="270"/>
      <c r="B144" s="321" t="s">
        <v>209</v>
      </c>
      <c r="C144" s="249"/>
      <c r="D144" s="249"/>
    </row>
    <row r="145" spans="1:8" customFormat="1" ht="15.6" x14ac:dyDescent="0.3">
      <c r="A145" s="270"/>
      <c r="B145" s="321" t="s">
        <v>210</v>
      </c>
      <c r="C145" s="249"/>
      <c r="D145" s="249"/>
    </row>
    <row r="146" spans="1:8" customFormat="1" ht="15.6" x14ac:dyDescent="0.3">
      <c r="A146" s="270"/>
      <c r="B146" s="321" t="s">
        <v>211</v>
      </c>
      <c r="C146" s="249"/>
      <c r="D146" s="249"/>
    </row>
    <row r="147" spans="1:8" customFormat="1" ht="15.6" x14ac:dyDescent="0.3">
      <c r="A147" s="270"/>
      <c r="B147" s="322" t="s">
        <v>212</v>
      </c>
      <c r="C147" s="249"/>
      <c r="D147" s="249"/>
    </row>
    <row r="148" spans="1:8" customFormat="1" x14ac:dyDescent="0.3">
      <c r="C148" s="249"/>
      <c r="D148" s="249"/>
    </row>
    <row r="149" spans="1:8" customFormat="1" ht="15.6" x14ac:dyDescent="0.3">
      <c r="B149" s="322" t="s">
        <v>213</v>
      </c>
      <c r="C149" s="322"/>
      <c r="D149" s="322"/>
      <c r="E149" s="330"/>
      <c r="F149" s="330"/>
      <c r="G149" s="330"/>
      <c r="H149" s="331" t="s">
        <v>214</v>
      </c>
    </row>
    <row r="150" spans="1:8" customFormat="1" ht="15.6" x14ac:dyDescent="0.3">
      <c r="B150" s="323"/>
      <c r="C150" s="323"/>
      <c r="D150" s="323"/>
      <c r="E150" s="330"/>
      <c r="F150" s="330"/>
      <c r="G150" s="330"/>
      <c r="H150" s="333"/>
    </row>
    <row r="151" spans="1:8" customFormat="1" ht="15.6" x14ac:dyDescent="0.3">
      <c r="B151" s="334"/>
      <c r="C151" s="334"/>
      <c r="D151" s="334"/>
      <c r="E151" s="335"/>
      <c r="F151" s="330"/>
      <c r="G151" s="330"/>
      <c r="H151" s="333"/>
    </row>
    <row r="152" spans="1:8" customFormat="1" ht="15.6" x14ac:dyDescent="0.3">
      <c r="B152" s="334"/>
      <c r="C152" s="334"/>
      <c r="D152" s="334"/>
      <c r="E152" s="335"/>
      <c r="F152" s="330"/>
      <c r="G152" s="330"/>
      <c r="H152" s="333"/>
    </row>
    <row r="153" spans="1:8" customFormat="1" ht="15.6" x14ac:dyDescent="0.3">
      <c r="B153" s="334"/>
      <c r="C153" s="334"/>
      <c r="D153" s="334"/>
      <c r="E153" s="335"/>
      <c r="F153" s="330"/>
      <c r="G153" s="330"/>
      <c r="H153" s="333"/>
    </row>
    <row r="154" spans="1:8" customFormat="1" ht="15.6" x14ac:dyDescent="0.3">
      <c r="B154" s="272"/>
      <c r="C154" s="272"/>
      <c r="D154" s="272"/>
      <c r="E154" s="335"/>
      <c r="F154" s="330"/>
      <c r="G154" s="330"/>
      <c r="H154" s="333"/>
    </row>
    <row r="155" spans="1:8" customFormat="1" ht="15.6" x14ac:dyDescent="0.3">
      <c r="B155" s="334"/>
      <c r="C155" s="334"/>
      <c r="D155" s="334"/>
      <c r="E155" s="335"/>
      <c r="F155" s="335"/>
      <c r="G155" s="335"/>
      <c r="H155" s="333"/>
    </row>
    <row r="156" spans="1:8" customFormat="1" ht="15.6" x14ac:dyDescent="0.3">
      <c r="B156" s="336" t="s">
        <v>215</v>
      </c>
      <c r="C156" s="336"/>
      <c r="D156" s="336"/>
      <c r="E156" s="335"/>
      <c r="F156" s="335"/>
      <c r="G156" s="335"/>
      <c r="H156" s="337" t="s">
        <v>216</v>
      </c>
    </row>
    <row r="157" spans="1:8" customFormat="1" ht="15.6" x14ac:dyDescent="0.3">
      <c r="B157" s="339" t="s">
        <v>217</v>
      </c>
      <c r="C157" s="339"/>
      <c r="D157" s="339"/>
      <c r="E157" s="335"/>
      <c r="F157" s="335"/>
      <c r="G157" s="335"/>
      <c r="H157" s="337" t="s">
        <v>218</v>
      </c>
    </row>
    <row r="158" spans="1:8" customFormat="1" x14ac:dyDescent="0.3">
      <c r="E158" s="249"/>
    </row>
    <row r="159" spans="1:8" customFormat="1" x14ac:dyDescent="0.3">
      <c r="E159" s="249"/>
    </row>
    <row r="160" spans="1:8" customFormat="1" x14ac:dyDescent="0.3">
      <c r="E160" s="249"/>
    </row>
    <row r="161" spans="5:5" customFormat="1" x14ac:dyDescent="0.3">
      <c r="E161" s="249"/>
    </row>
    <row r="162" spans="5:5" customFormat="1" x14ac:dyDescent="0.3">
      <c r="E162" s="249"/>
    </row>
    <row r="163" spans="5:5" customFormat="1" x14ac:dyDescent="0.3">
      <c r="E163" s="249"/>
    </row>
    <row r="164" spans="5:5" customFormat="1" x14ac:dyDescent="0.3">
      <c r="E164" s="249"/>
    </row>
    <row r="165" spans="5:5" customFormat="1" x14ac:dyDescent="0.3">
      <c r="E165" s="249"/>
    </row>
    <row r="166" spans="5:5" customFormat="1" x14ac:dyDescent="0.3">
      <c r="E166" s="249"/>
    </row>
    <row r="167" spans="5:5" customFormat="1" x14ac:dyDescent="0.3">
      <c r="E167" s="249"/>
    </row>
    <row r="168" spans="5:5" customFormat="1" x14ac:dyDescent="0.3">
      <c r="E168" s="249"/>
    </row>
  </sheetData>
  <mergeCells count="1">
    <mergeCell ref="G15:H15"/>
  </mergeCells>
  <pageMargins left="0.70866141732283472" right="0.70866141732283472" top="0.74803149606299213" bottom="0.74803149606299213" header="0.31496062992125984" footer="0.31496062992125984"/>
  <pageSetup paperSize="9" scale="2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33D4-3477-4110-BA45-D458F08EE971}">
  <sheetPr>
    <pageSetUpPr fitToPage="1"/>
  </sheetPr>
  <dimension ref="A2:P131"/>
  <sheetViews>
    <sheetView showGridLines="0" topLeftCell="A10" workbookViewId="0">
      <selection sqref="A1:I132"/>
    </sheetView>
  </sheetViews>
  <sheetFormatPr defaultRowHeight="14.4" x14ac:dyDescent="0.3"/>
  <cols>
    <col min="2" max="2" width="77.33203125" customWidth="1"/>
    <col min="3" max="3" width="9" style="249" customWidth="1"/>
    <col min="4" max="5" width="9" customWidth="1"/>
    <col min="6" max="7" width="19" customWidth="1"/>
    <col min="9" max="9" width="14.33203125" bestFit="1" customWidth="1"/>
  </cols>
  <sheetData>
    <row r="2" spans="1:12" x14ac:dyDescent="0.3">
      <c r="H2" s="166"/>
      <c r="I2" s="236"/>
    </row>
    <row r="3" spans="1:12" x14ac:dyDescent="0.3">
      <c r="I3" s="166"/>
      <c r="J3" s="166"/>
      <c r="K3" s="166"/>
      <c r="L3" s="166"/>
    </row>
    <row r="5" spans="1:12" s="165" customFormat="1" x14ac:dyDescent="0.3">
      <c r="C5" s="275"/>
      <c r="E5" s="275"/>
    </row>
    <row r="6" spans="1:12" s="165" customFormat="1" x14ac:dyDescent="0.3">
      <c r="C6" s="275"/>
      <c r="E6" s="275"/>
    </row>
    <row r="7" spans="1:12" s="165" customFormat="1" x14ac:dyDescent="0.3">
      <c r="C7" s="275"/>
      <c r="E7" s="275"/>
      <c r="H7" s="603" t="s">
        <v>10</v>
      </c>
      <c r="I7" s="603"/>
    </row>
    <row r="8" spans="1:12" s="165" customFormat="1" x14ac:dyDescent="0.3">
      <c r="C8" s="275"/>
      <c r="E8" s="275"/>
      <c r="H8" s="256"/>
      <c r="I8" s="256"/>
    </row>
    <row r="9" spans="1:12" s="165" customFormat="1" x14ac:dyDescent="0.3">
      <c r="C9" s="275"/>
      <c r="E9" s="275"/>
      <c r="H9" s="256"/>
      <c r="I9" s="256"/>
    </row>
    <row r="10" spans="1:12" s="165" customFormat="1" x14ac:dyDescent="0.3">
      <c r="C10" s="275"/>
      <c r="E10" s="275"/>
      <c r="H10" s="256"/>
      <c r="I10" s="256"/>
    </row>
    <row r="11" spans="1:12" s="165" customFormat="1" x14ac:dyDescent="0.3">
      <c r="C11" s="275"/>
      <c r="E11" s="275"/>
      <c r="H11" s="256"/>
      <c r="I11" s="256"/>
    </row>
    <row r="12" spans="1:12" s="165" customFormat="1" x14ac:dyDescent="0.3">
      <c r="C12" s="275"/>
      <c r="E12" s="275"/>
      <c r="H12" s="256"/>
      <c r="I12" s="256"/>
    </row>
    <row r="13" spans="1:12" s="165" customFormat="1" x14ac:dyDescent="0.3">
      <c r="C13" s="275"/>
      <c r="E13" s="275"/>
      <c r="H13" s="256"/>
      <c r="I13" s="256"/>
    </row>
    <row r="14" spans="1:12" s="165" customFormat="1" x14ac:dyDescent="0.3">
      <c r="C14" s="275"/>
      <c r="E14" s="275"/>
      <c r="H14" s="340"/>
      <c r="I14" s="256"/>
    </row>
    <row r="15" spans="1:12" s="165" customFormat="1" ht="15.6" x14ac:dyDescent="0.3">
      <c r="A15" s="260" t="s">
        <v>189</v>
      </c>
      <c r="B15" s="261" t="s">
        <v>234</v>
      </c>
      <c r="C15" s="406"/>
      <c r="D15" s="261"/>
      <c r="E15" s="276" t="s">
        <v>190</v>
      </c>
      <c r="F15" s="262" t="s">
        <v>191</v>
      </c>
      <c r="G15" s="343"/>
      <c r="J15" s="482"/>
      <c r="K15" s="264"/>
    </row>
    <row r="16" spans="1:12" s="165" customFormat="1" ht="15.6" x14ac:dyDescent="0.3">
      <c r="A16" s="265" t="s">
        <v>192</v>
      </c>
      <c r="B16" s="266" t="s">
        <v>193</v>
      </c>
      <c r="C16" s="287"/>
      <c r="D16" s="266"/>
      <c r="E16" s="277" t="s">
        <v>244</v>
      </c>
      <c r="F16" s="266" t="s">
        <v>245</v>
      </c>
      <c r="J16" s="267"/>
      <c r="K16" s="264"/>
    </row>
    <row r="17" spans="1:11" s="165" customFormat="1" ht="15.6" x14ac:dyDescent="0.3">
      <c r="A17" s="265" t="s">
        <v>194</v>
      </c>
      <c r="B17" s="266" t="s">
        <v>195</v>
      </c>
      <c r="C17" s="287"/>
      <c r="D17" s="266"/>
      <c r="E17" s="277" t="s">
        <v>196</v>
      </c>
      <c r="F17" s="266" t="s">
        <v>246</v>
      </c>
      <c r="J17" s="267"/>
      <c r="K17" s="264"/>
    </row>
    <row r="18" spans="1:11" s="165" customFormat="1" ht="15.6" x14ac:dyDescent="0.3">
      <c r="A18" s="268" t="s">
        <v>197</v>
      </c>
      <c r="B18" s="266" t="s">
        <v>198</v>
      </c>
      <c r="C18" s="287"/>
      <c r="D18" s="266"/>
      <c r="E18" s="277" t="s">
        <v>199</v>
      </c>
      <c r="F18" s="266" t="s">
        <v>249</v>
      </c>
      <c r="J18" s="267"/>
      <c r="K18" s="264"/>
    </row>
    <row r="19" spans="1:11" s="165" customFormat="1" ht="15.6" x14ac:dyDescent="0.3">
      <c r="A19" s="268"/>
      <c r="B19" s="266" t="s">
        <v>200</v>
      </c>
      <c r="C19" s="287"/>
      <c r="D19" s="266"/>
      <c r="E19" s="270"/>
      <c r="F19" s="271"/>
      <c r="G19" s="272"/>
      <c r="H19" s="273"/>
      <c r="I19" s="256"/>
    </row>
    <row r="20" spans="1:11" s="165" customFormat="1" ht="15.6" x14ac:dyDescent="0.3">
      <c r="A20" s="268"/>
      <c r="B20" s="269" t="s">
        <v>201</v>
      </c>
      <c r="C20" s="287"/>
      <c r="D20" s="269"/>
      <c r="E20" s="270"/>
      <c r="F20" s="271"/>
      <c r="G20" s="272"/>
      <c r="H20" s="274"/>
      <c r="I20" s="256"/>
    </row>
    <row r="22" spans="1:11" ht="15" thickBot="1" x14ac:dyDescent="0.35">
      <c r="F22" s="604"/>
      <c r="G22" s="604"/>
    </row>
    <row r="23" spans="1:11" ht="16.2" thickBot="1" x14ac:dyDescent="0.35">
      <c r="A23" s="158" t="s">
        <v>0</v>
      </c>
      <c r="B23" s="258" t="s">
        <v>1</v>
      </c>
      <c r="C23" s="1" t="s">
        <v>2</v>
      </c>
      <c r="D23" s="1" t="s">
        <v>3</v>
      </c>
      <c r="E23" s="378" t="s">
        <v>4</v>
      </c>
      <c r="F23" s="379" t="s">
        <v>46</v>
      </c>
      <c r="G23" s="380" t="s">
        <v>11</v>
      </c>
    </row>
    <row r="24" spans="1:11" x14ac:dyDescent="0.3">
      <c r="A24" s="159"/>
      <c r="B24" s="2"/>
      <c r="C24" s="40"/>
      <c r="D24" s="3"/>
      <c r="E24" s="3"/>
      <c r="F24" s="202"/>
      <c r="G24" s="219"/>
    </row>
    <row r="25" spans="1:11" x14ac:dyDescent="0.3">
      <c r="A25" s="143" t="s">
        <v>5</v>
      </c>
      <c r="B25" s="30" t="s">
        <v>6</v>
      </c>
      <c r="C25" s="407"/>
      <c r="D25" s="4"/>
      <c r="E25" s="4"/>
      <c r="F25" s="213"/>
      <c r="G25" s="214"/>
    </row>
    <row r="26" spans="1:11" x14ac:dyDescent="0.3">
      <c r="A26" s="143"/>
      <c r="B26" s="29" t="s">
        <v>128</v>
      </c>
      <c r="C26" s="408"/>
      <c r="D26" s="4"/>
      <c r="E26" s="5"/>
      <c r="F26" s="213"/>
      <c r="G26" s="214"/>
    </row>
    <row r="27" spans="1:11" x14ac:dyDescent="0.3">
      <c r="A27" s="143"/>
      <c r="B27" s="30"/>
      <c r="C27" s="407"/>
      <c r="D27" s="4"/>
      <c r="E27" s="5"/>
      <c r="F27" s="213"/>
      <c r="G27" s="214"/>
    </row>
    <row r="28" spans="1:11" x14ac:dyDescent="0.3">
      <c r="A28" s="160">
        <v>1</v>
      </c>
      <c r="B28" s="55" t="s">
        <v>9</v>
      </c>
      <c r="C28" s="392"/>
      <c r="D28" s="7"/>
      <c r="E28" s="8"/>
      <c r="F28" s="210"/>
      <c r="G28" s="233"/>
    </row>
    <row r="29" spans="1:11" x14ac:dyDescent="0.3">
      <c r="A29" s="160"/>
      <c r="B29" s="351" t="s">
        <v>129</v>
      </c>
      <c r="C29" s="392" t="s">
        <v>10</v>
      </c>
      <c r="D29" s="9">
        <v>50</v>
      </c>
      <c r="E29" s="10">
        <v>1</v>
      </c>
      <c r="F29" s="223">
        <v>550000</v>
      </c>
      <c r="G29" s="235">
        <f>D29*E29*F29</f>
        <v>27500000</v>
      </c>
    </row>
    <row r="30" spans="1:11" x14ac:dyDescent="0.3">
      <c r="A30" s="160"/>
      <c r="B30" s="351" t="s">
        <v>130</v>
      </c>
      <c r="C30" s="392"/>
      <c r="D30" s="9">
        <v>50</v>
      </c>
      <c r="E30" s="10">
        <v>1</v>
      </c>
      <c r="F30" s="223">
        <v>950000</v>
      </c>
      <c r="G30" s="235"/>
    </row>
    <row r="31" spans="1:11" x14ac:dyDescent="0.3">
      <c r="A31" s="160"/>
      <c r="B31" s="351" t="s">
        <v>131</v>
      </c>
      <c r="C31" s="392"/>
      <c r="D31" s="9">
        <v>50</v>
      </c>
      <c r="E31" s="10">
        <v>1</v>
      </c>
      <c r="F31" s="223">
        <v>1000000</v>
      </c>
      <c r="G31" s="235"/>
    </row>
    <row r="32" spans="1:11" x14ac:dyDescent="0.3">
      <c r="A32" s="160"/>
      <c r="B32" s="351" t="s">
        <v>132</v>
      </c>
      <c r="C32" s="392"/>
      <c r="D32" s="9">
        <v>16</v>
      </c>
      <c r="E32" s="10">
        <v>1</v>
      </c>
      <c r="F32" s="223"/>
      <c r="G32" s="235"/>
    </row>
    <row r="33" spans="1:7" x14ac:dyDescent="0.3">
      <c r="A33" s="160"/>
      <c r="B33" s="351" t="s">
        <v>133</v>
      </c>
      <c r="C33" s="392"/>
      <c r="D33" s="9"/>
      <c r="E33" s="10"/>
      <c r="F33" s="223"/>
      <c r="G33" s="235"/>
    </row>
    <row r="34" spans="1:7" x14ac:dyDescent="0.3">
      <c r="A34" s="160"/>
      <c r="B34" s="351" t="s">
        <v>134</v>
      </c>
      <c r="C34" s="392"/>
      <c r="D34" s="9"/>
      <c r="E34" s="10"/>
      <c r="F34" s="223"/>
      <c r="G34" s="235"/>
    </row>
    <row r="35" spans="1:7" x14ac:dyDescent="0.3">
      <c r="A35" s="160"/>
      <c r="B35" s="351"/>
      <c r="C35" s="392"/>
      <c r="D35" s="9"/>
      <c r="E35" s="10"/>
      <c r="F35" s="223"/>
      <c r="G35" s="235"/>
    </row>
    <row r="36" spans="1:7" x14ac:dyDescent="0.3">
      <c r="A36" s="160"/>
      <c r="B36" s="354" t="s">
        <v>82</v>
      </c>
      <c r="C36" s="409" t="s">
        <v>10</v>
      </c>
      <c r="D36" s="153">
        <v>1</v>
      </c>
      <c r="E36" s="154">
        <v>1</v>
      </c>
      <c r="F36" s="203">
        <v>37500000</v>
      </c>
      <c r="G36" s="232">
        <f t="shared" ref="G36:G43" si="0">D36*E36*F36</f>
        <v>37500000</v>
      </c>
    </row>
    <row r="37" spans="1:7" x14ac:dyDescent="0.3">
      <c r="A37" s="160"/>
      <c r="B37" s="355" t="s">
        <v>135</v>
      </c>
      <c r="C37" s="393"/>
      <c r="D37" s="9">
        <v>1</v>
      </c>
      <c r="E37" s="32">
        <v>1</v>
      </c>
      <c r="F37" s="228"/>
      <c r="G37" s="235">
        <f t="shared" si="0"/>
        <v>0</v>
      </c>
    </row>
    <row r="38" spans="1:7" x14ac:dyDescent="0.3">
      <c r="A38" s="160"/>
      <c r="B38" s="356" t="s">
        <v>136</v>
      </c>
      <c r="C38" s="32"/>
      <c r="D38" s="9">
        <v>1</v>
      </c>
      <c r="E38" s="32">
        <v>1</v>
      </c>
      <c r="F38" s="228"/>
      <c r="G38" s="235"/>
    </row>
    <row r="39" spans="1:7" x14ac:dyDescent="0.3">
      <c r="A39" s="160"/>
      <c r="B39" s="357" t="s">
        <v>137</v>
      </c>
      <c r="C39" s="37"/>
      <c r="D39" s="36">
        <v>1</v>
      </c>
      <c r="E39" s="37">
        <v>1</v>
      </c>
      <c r="F39" s="228"/>
      <c r="G39" s="169">
        <f t="shared" si="0"/>
        <v>0</v>
      </c>
    </row>
    <row r="40" spans="1:7" x14ac:dyDescent="0.3">
      <c r="A40" s="160"/>
      <c r="B40" s="357" t="s">
        <v>138</v>
      </c>
      <c r="C40" s="37"/>
      <c r="D40" s="36">
        <v>1</v>
      </c>
      <c r="E40" s="37">
        <v>1</v>
      </c>
      <c r="F40" s="228"/>
      <c r="G40" s="230"/>
    </row>
    <row r="41" spans="1:7" x14ac:dyDescent="0.3">
      <c r="A41" s="160"/>
      <c r="B41" s="357" t="s">
        <v>87</v>
      </c>
      <c r="C41" s="37"/>
      <c r="D41" s="36">
        <v>1</v>
      </c>
      <c r="E41" s="37">
        <v>1</v>
      </c>
      <c r="F41" s="228"/>
      <c r="G41" s="169">
        <f t="shared" si="0"/>
        <v>0</v>
      </c>
    </row>
    <row r="42" spans="1:7" x14ac:dyDescent="0.3">
      <c r="A42" s="160"/>
      <c r="B42" s="357" t="s">
        <v>139</v>
      </c>
      <c r="C42" s="37"/>
      <c r="D42" s="36">
        <v>3</v>
      </c>
      <c r="E42" s="37">
        <v>1</v>
      </c>
      <c r="F42" s="228"/>
      <c r="G42" s="169"/>
    </row>
    <row r="43" spans="1:7" x14ac:dyDescent="0.3">
      <c r="A43" s="160"/>
      <c r="B43" s="358" t="s">
        <v>140</v>
      </c>
      <c r="C43" s="37" t="s">
        <v>10</v>
      </c>
      <c r="D43" s="155">
        <v>3</v>
      </c>
      <c r="E43" s="156">
        <v>1</v>
      </c>
      <c r="F43" s="203">
        <v>12500000</v>
      </c>
      <c r="G43" s="224">
        <f t="shared" si="0"/>
        <v>37500000</v>
      </c>
    </row>
    <row r="44" spans="1:7" x14ac:dyDescent="0.3">
      <c r="A44" s="160"/>
      <c r="B44" s="359" t="s">
        <v>141</v>
      </c>
      <c r="C44" s="394" t="s">
        <v>10</v>
      </c>
      <c r="D44" s="112">
        <v>1</v>
      </c>
      <c r="E44" s="113">
        <v>1</v>
      </c>
      <c r="F44" s="220">
        <v>1500000</v>
      </c>
      <c r="G44" s="230">
        <f>D44*E44*F44</f>
        <v>1500000</v>
      </c>
    </row>
    <row r="45" spans="1:7" x14ac:dyDescent="0.3">
      <c r="A45" s="160"/>
      <c r="B45" s="351"/>
      <c r="C45" s="394"/>
      <c r="D45" s="9"/>
      <c r="E45" s="10"/>
      <c r="F45" s="223"/>
      <c r="G45" s="235"/>
    </row>
    <row r="46" spans="1:7" x14ac:dyDescent="0.3">
      <c r="A46" s="160">
        <v>2</v>
      </c>
      <c r="B46" s="360" t="s">
        <v>142</v>
      </c>
      <c r="C46" s="142"/>
      <c r="D46" s="9"/>
      <c r="E46" s="32"/>
      <c r="F46" s="228"/>
      <c r="G46" s="235"/>
    </row>
    <row r="47" spans="1:7" x14ac:dyDescent="0.3">
      <c r="A47" s="160"/>
      <c r="B47" s="350" t="s">
        <v>28</v>
      </c>
      <c r="C47" s="142" t="s">
        <v>10</v>
      </c>
      <c r="D47" s="9">
        <v>1</v>
      </c>
      <c r="E47" s="32">
        <v>1</v>
      </c>
      <c r="F47" s="211">
        <v>1750000</v>
      </c>
      <c r="G47" s="235">
        <f>D47*E47*F47</f>
        <v>1750000</v>
      </c>
    </row>
    <row r="48" spans="1:7" x14ac:dyDescent="0.3">
      <c r="A48" s="160"/>
      <c r="B48" s="361" t="s">
        <v>143</v>
      </c>
      <c r="C48" s="142" t="s">
        <v>10</v>
      </c>
      <c r="D48" s="9">
        <v>1</v>
      </c>
      <c r="E48" s="32">
        <v>1</v>
      </c>
      <c r="F48" s="211">
        <v>3000000</v>
      </c>
      <c r="G48" s="235">
        <f t="shared" ref="G48" si="1">D48*E48*F48</f>
        <v>3000000</v>
      </c>
    </row>
    <row r="49" spans="1:16" x14ac:dyDescent="0.3">
      <c r="A49" s="160"/>
      <c r="B49" s="361"/>
      <c r="C49" s="142"/>
      <c r="D49" s="9"/>
      <c r="E49" s="142"/>
      <c r="F49" s="211"/>
      <c r="G49" s="235"/>
    </row>
    <row r="50" spans="1:16" x14ac:dyDescent="0.3">
      <c r="A50" s="160">
        <v>3</v>
      </c>
      <c r="B50" s="360" t="s">
        <v>144</v>
      </c>
      <c r="C50" s="142"/>
      <c r="D50" s="9"/>
      <c r="E50" s="142"/>
      <c r="F50" s="211"/>
      <c r="G50" s="235"/>
    </row>
    <row r="51" spans="1:16" s="165" customFormat="1" x14ac:dyDescent="0.3">
      <c r="A51" s="160"/>
      <c r="B51" s="361" t="s">
        <v>145</v>
      </c>
      <c r="C51" s="142" t="s">
        <v>10</v>
      </c>
      <c r="D51" s="9">
        <v>1</v>
      </c>
      <c r="E51" s="142">
        <v>1</v>
      </c>
      <c r="F51" s="211">
        <v>2500000</v>
      </c>
      <c r="G51" s="235">
        <f t="shared" ref="G51" si="2">D51*E51*F51</f>
        <v>2500000</v>
      </c>
      <c r="H51"/>
      <c r="I51"/>
      <c r="J51"/>
      <c r="K51"/>
      <c r="L51"/>
      <c r="M51"/>
      <c r="N51"/>
      <c r="O51"/>
      <c r="P51"/>
    </row>
    <row r="52" spans="1:16" x14ac:dyDescent="0.3">
      <c r="A52" s="160"/>
      <c r="B52" s="362"/>
      <c r="C52" s="394"/>
      <c r="D52" s="7"/>
      <c r="E52" s="8"/>
      <c r="F52" s="210"/>
      <c r="G52" s="233"/>
    </row>
    <row r="53" spans="1:16" x14ac:dyDescent="0.3">
      <c r="A53" s="160">
        <v>4</v>
      </c>
      <c r="B53" s="363" t="s">
        <v>33</v>
      </c>
      <c r="C53" s="394"/>
      <c r="D53" s="7"/>
      <c r="E53" s="8"/>
      <c r="F53" s="210"/>
      <c r="G53" s="214"/>
    </row>
    <row r="54" spans="1:16" x14ac:dyDescent="0.3">
      <c r="A54" s="143"/>
      <c r="B54" s="364" t="s">
        <v>146</v>
      </c>
      <c r="C54" s="142" t="s">
        <v>10</v>
      </c>
      <c r="D54" s="9">
        <v>6</v>
      </c>
      <c r="E54" s="10">
        <v>1</v>
      </c>
      <c r="F54" s="209">
        <v>750000</v>
      </c>
      <c r="G54" s="204">
        <f>+D54*E54*F54</f>
        <v>4500000</v>
      </c>
    </row>
    <row r="55" spans="1:16" x14ac:dyDescent="0.3">
      <c r="A55" s="143"/>
      <c r="B55" s="364" t="s">
        <v>147</v>
      </c>
      <c r="C55" s="142" t="s">
        <v>10</v>
      </c>
      <c r="D55" s="9">
        <v>1</v>
      </c>
      <c r="E55" s="10">
        <v>1</v>
      </c>
      <c r="F55" s="209">
        <v>5000000</v>
      </c>
      <c r="G55" s="204">
        <f>+D55*E55*F55</f>
        <v>5000000</v>
      </c>
    </row>
    <row r="56" spans="1:16" x14ac:dyDescent="0.3">
      <c r="A56" s="143"/>
      <c r="B56" s="364" t="s">
        <v>148</v>
      </c>
      <c r="C56" s="142" t="s">
        <v>10</v>
      </c>
      <c r="D56" s="9">
        <v>3</v>
      </c>
      <c r="E56" s="10">
        <v>1</v>
      </c>
      <c r="F56" s="209">
        <v>8500000</v>
      </c>
      <c r="G56" s="204">
        <f t="shared" ref="G56:G58" si="3">+D56*E56*F56</f>
        <v>25500000</v>
      </c>
    </row>
    <row r="57" spans="1:16" x14ac:dyDescent="0.3">
      <c r="A57" s="167"/>
      <c r="B57" s="365" t="s">
        <v>149</v>
      </c>
      <c r="C57" s="142" t="s">
        <v>10</v>
      </c>
      <c r="D57" s="476">
        <v>6</v>
      </c>
      <c r="E57" s="168">
        <v>1</v>
      </c>
      <c r="F57" s="209">
        <v>2250000</v>
      </c>
      <c r="G57" s="204">
        <f t="shared" si="3"/>
        <v>13500000</v>
      </c>
    </row>
    <row r="58" spans="1:16" x14ac:dyDescent="0.3">
      <c r="A58" s="143"/>
      <c r="B58" s="364" t="s">
        <v>150</v>
      </c>
      <c r="C58" s="142" t="s">
        <v>10</v>
      </c>
      <c r="D58" s="9">
        <v>1</v>
      </c>
      <c r="E58" s="10">
        <v>1</v>
      </c>
      <c r="F58" s="209">
        <v>3000000</v>
      </c>
      <c r="G58" s="204">
        <f t="shared" si="3"/>
        <v>3000000</v>
      </c>
    </row>
    <row r="59" spans="1:16" x14ac:dyDescent="0.3">
      <c r="A59" s="143"/>
      <c r="B59" s="364" t="s">
        <v>151</v>
      </c>
      <c r="C59" s="396"/>
      <c r="D59" s="9"/>
      <c r="E59" s="10"/>
      <c r="F59" s="209"/>
      <c r="G59" s="204"/>
    </row>
    <row r="60" spans="1:16" ht="24" customHeight="1" x14ac:dyDescent="0.3">
      <c r="A60" s="143"/>
      <c r="B60" s="364" t="s">
        <v>152</v>
      </c>
      <c r="C60" s="142" t="s">
        <v>10</v>
      </c>
      <c r="D60" s="9">
        <v>1</v>
      </c>
      <c r="E60" s="10">
        <v>1</v>
      </c>
      <c r="F60" s="209">
        <v>550000</v>
      </c>
      <c r="G60" s="204">
        <f>+D60*E60*F60</f>
        <v>550000</v>
      </c>
    </row>
    <row r="61" spans="1:16" x14ac:dyDescent="0.3">
      <c r="A61" s="161"/>
      <c r="B61" s="365" t="s">
        <v>153</v>
      </c>
      <c r="C61" s="142" t="s">
        <v>10</v>
      </c>
      <c r="D61" s="477">
        <v>1</v>
      </c>
      <c r="E61" s="127">
        <v>1</v>
      </c>
      <c r="F61" s="223">
        <v>1750000</v>
      </c>
      <c r="G61" s="192">
        <f>+D61*E61*F61</f>
        <v>1750000</v>
      </c>
    </row>
    <row r="62" spans="1:16" x14ac:dyDescent="0.3">
      <c r="A62" s="143"/>
      <c r="B62" s="366"/>
      <c r="C62" s="396"/>
      <c r="D62" s="9"/>
      <c r="E62" s="10"/>
      <c r="F62" s="234"/>
      <c r="G62" s="204"/>
    </row>
    <row r="63" spans="1:16" x14ac:dyDescent="0.3">
      <c r="A63" s="143">
        <v>5</v>
      </c>
      <c r="B63" s="367" t="s">
        <v>154</v>
      </c>
      <c r="C63" s="408"/>
      <c r="D63" s="4"/>
      <c r="E63" s="5"/>
      <c r="F63" s="213"/>
      <c r="G63" s="214"/>
    </row>
    <row r="64" spans="1:16" x14ac:dyDescent="0.3">
      <c r="A64" s="143"/>
      <c r="B64" s="368" t="s">
        <v>155</v>
      </c>
      <c r="C64" s="142" t="s">
        <v>10</v>
      </c>
      <c r="D64" s="9">
        <v>1</v>
      </c>
      <c r="E64" s="10">
        <v>1</v>
      </c>
      <c r="F64" s="209">
        <v>40000000</v>
      </c>
      <c r="G64" s="235">
        <f t="shared" ref="G64:G65" si="4">D64*E64*F64</f>
        <v>40000000</v>
      </c>
    </row>
    <row r="65" spans="1:7" x14ac:dyDescent="0.3">
      <c r="A65" s="143"/>
      <c r="B65" s="369" t="s">
        <v>156</v>
      </c>
      <c r="C65" s="142" t="s">
        <v>10</v>
      </c>
      <c r="D65" s="9">
        <v>30</v>
      </c>
      <c r="E65" s="10">
        <v>1</v>
      </c>
      <c r="F65" s="209">
        <v>75000</v>
      </c>
      <c r="G65" s="235">
        <f t="shared" si="4"/>
        <v>2250000</v>
      </c>
    </row>
    <row r="66" spans="1:7" x14ac:dyDescent="0.3">
      <c r="A66" s="143"/>
      <c r="B66" s="366"/>
      <c r="C66" s="396"/>
      <c r="D66" s="9"/>
      <c r="E66" s="10"/>
      <c r="F66" s="234"/>
      <c r="G66" s="204"/>
    </row>
    <row r="67" spans="1:7" x14ac:dyDescent="0.3">
      <c r="A67" s="160">
        <v>6</v>
      </c>
      <c r="B67" s="370" t="s">
        <v>42</v>
      </c>
      <c r="C67" s="408"/>
      <c r="D67" s="3"/>
      <c r="E67" s="40"/>
      <c r="F67" s="209"/>
      <c r="G67" s="204"/>
    </row>
    <row r="68" spans="1:7" x14ac:dyDescent="0.3">
      <c r="A68" s="160"/>
      <c r="B68" s="371" t="s">
        <v>157</v>
      </c>
      <c r="C68" s="142" t="s">
        <v>10</v>
      </c>
      <c r="D68" s="3">
        <v>75</v>
      </c>
      <c r="E68" s="40">
        <v>1</v>
      </c>
      <c r="F68" s="209">
        <v>125000</v>
      </c>
      <c r="G68" s="204">
        <f>+D68*E68*F68</f>
        <v>9375000</v>
      </c>
    </row>
    <row r="69" spans="1:7" x14ac:dyDescent="0.3">
      <c r="A69" s="160"/>
      <c r="B69" s="372"/>
      <c r="C69" s="408"/>
      <c r="D69" s="3"/>
      <c r="E69" s="40"/>
      <c r="F69" s="223"/>
      <c r="G69" s="204"/>
    </row>
    <row r="70" spans="1:7" x14ac:dyDescent="0.3">
      <c r="A70" s="160">
        <v>7</v>
      </c>
      <c r="B70" s="352" t="s">
        <v>158</v>
      </c>
      <c r="C70" s="408"/>
      <c r="D70" s="3"/>
      <c r="E70" s="40"/>
      <c r="F70" s="209"/>
      <c r="G70" s="204"/>
    </row>
    <row r="71" spans="1:7" x14ac:dyDescent="0.3">
      <c r="A71" s="160"/>
      <c r="B71" s="353" t="s">
        <v>159</v>
      </c>
      <c r="C71" s="142" t="s">
        <v>10</v>
      </c>
      <c r="D71" s="3">
        <v>6</v>
      </c>
      <c r="E71" s="3">
        <v>1</v>
      </c>
      <c r="F71" s="223">
        <v>100000</v>
      </c>
      <c r="G71" s="204">
        <f>+D71*E71*F71</f>
        <v>600000</v>
      </c>
    </row>
    <row r="72" spans="1:7" x14ac:dyDescent="0.3">
      <c r="A72" s="160"/>
      <c r="B72" s="353" t="s">
        <v>160</v>
      </c>
      <c r="C72" s="142" t="s">
        <v>10</v>
      </c>
      <c r="D72" s="3">
        <v>1</v>
      </c>
      <c r="E72" s="40">
        <v>1</v>
      </c>
      <c r="F72" s="223">
        <v>105000000</v>
      </c>
      <c r="G72" s="204">
        <f>+D72*E72*F72</f>
        <v>105000000</v>
      </c>
    </row>
    <row r="73" spans="1:7" x14ac:dyDescent="0.3">
      <c r="A73" s="160"/>
      <c r="B73" s="353" t="s">
        <v>161</v>
      </c>
      <c r="C73" s="142" t="s">
        <v>10</v>
      </c>
      <c r="D73" s="3">
        <v>15</v>
      </c>
      <c r="E73" s="40">
        <v>1</v>
      </c>
      <c r="F73" s="223">
        <v>275000</v>
      </c>
      <c r="G73" s="204">
        <f>+D73*E73*F73</f>
        <v>4125000</v>
      </c>
    </row>
    <row r="74" spans="1:7" x14ac:dyDescent="0.3">
      <c r="A74" s="160"/>
      <c r="B74" s="373"/>
      <c r="C74" s="407"/>
      <c r="D74" s="9"/>
      <c r="E74" s="10"/>
      <c r="F74" s="209"/>
      <c r="G74" s="204"/>
    </row>
    <row r="75" spans="1:7" x14ac:dyDescent="0.3">
      <c r="A75" s="160">
        <v>8</v>
      </c>
      <c r="B75" s="55" t="s">
        <v>38</v>
      </c>
      <c r="C75" s="394"/>
      <c r="D75" s="7"/>
      <c r="E75" s="8"/>
      <c r="F75" s="206"/>
      <c r="G75" s="233"/>
    </row>
    <row r="76" spans="1:7" x14ac:dyDescent="0.3">
      <c r="A76" s="160"/>
      <c r="B76" s="56" t="s">
        <v>70</v>
      </c>
      <c r="C76" s="142" t="s">
        <v>10</v>
      </c>
      <c r="D76" s="9">
        <v>1</v>
      </c>
      <c r="E76" s="10">
        <v>3</v>
      </c>
      <c r="F76" s="209">
        <v>1750000</v>
      </c>
      <c r="G76" s="235">
        <f t="shared" ref="G76" si="5">D76*E76*F76</f>
        <v>5250000</v>
      </c>
    </row>
    <row r="77" spans="1:7" x14ac:dyDescent="0.3">
      <c r="A77" s="160"/>
      <c r="B77" s="56" t="s">
        <v>162</v>
      </c>
      <c r="C77" s="142" t="s">
        <v>10</v>
      </c>
      <c r="D77" s="9">
        <v>75</v>
      </c>
      <c r="E77" s="10">
        <v>1</v>
      </c>
      <c r="F77" s="209">
        <v>35000</v>
      </c>
      <c r="G77" s="235">
        <f>D77*E77*F77</f>
        <v>2625000</v>
      </c>
    </row>
    <row r="78" spans="1:7" x14ac:dyDescent="0.3">
      <c r="A78" s="143"/>
      <c r="B78" s="11"/>
      <c r="C78" s="397"/>
      <c r="D78" s="9"/>
      <c r="E78" s="10"/>
      <c r="F78" s="209"/>
      <c r="G78" s="235"/>
    </row>
    <row r="79" spans="1:7" x14ac:dyDescent="0.3">
      <c r="A79" s="143" t="s">
        <v>21</v>
      </c>
      <c r="B79" s="347" t="s">
        <v>41</v>
      </c>
      <c r="C79" s="410"/>
      <c r="D79" s="9"/>
      <c r="E79" s="10"/>
      <c r="F79" s="209"/>
      <c r="G79" s="235"/>
    </row>
    <row r="80" spans="1:7" x14ac:dyDescent="0.3">
      <c r="A80" s="143"/>
      <c r="B80" s="25"/>
      <c r="C80" s="397"/>
      <c r="D80" s="9"/>
      <c r="E80" s="10"/>
      <c r="F80" s="209"/>
      <c r="G80" s="235"/>
    </row>
    <row r="81" spans="1:7" x14ac:dyDescent="0.3">
      <c r="A81" s="143"/>
      <c r="B81" s="374" t="s">
        <v>163</v>
      </c>
      <c r="C81" s="142" t="s">
        <v>10</v>
      </c>
      <c r="D81" s="36">
        <v>1</v>
      </c>
      <c r="E81" s="42">
        <v>3</v>
      </c>
      <c r="F81" s="223">
        <v>65000000</v>
      </c>
      <c r="G81" s="235"/>
    </row>
    <row r="82" spans="1:7" x14ac:dyDescent="0.3">
      <c r="A82" s="143"/>
      <c r="B82" s="375" t="s">
        <v>164</v>
      </c>
      <c r="C82" s="142" t="s">
        <v>10</v>
      </c>
      <c r="D82" s="36">
        <v>1</v>
      </c>
      <c r="E82" s="42">
        <v>3</v>
      </c>
      <c r="F82" s="223"/>
      <c r="G82" s="235"/>
    </row>
    <row r="83" spans="1:7" x14ac:dyDescent="0.3">
      <c r="A83" s="143"/>
      <c r="B83" s="375" t="s">
        <v>165</v>
      </c>
      <c r="C83" s="142" t="s">
        <v>10</v>
      </c>
      <c r="D83" s="36">
        <v>1</v>
      </c>
      <c r="E83" s="42">
        <v>3</v>
      </c>
      <c r="F83" s="223"/>
      <c r="G83" s="235"/>
    </row>
    <row r="84" spans="1:7" x14ac:dyDescent="0.3">
      <c r="A84" s="143"/>
      <c r="B84" s="375" t="s">
        <v>166</v>
      </c>
      <c r="C84" s="142" t="s">
        <v>10</v>
      </c>
      <c r="D84" s="36">
        <v>1</v>
      </c>
      <c r="E84" s="42">
        <v>3</v>
      </c>
      <c r="F84" s="223"/>
      <c r="G84" s="235"/>
    </row>
    <row r="85" spans="1:7" x14ac:dyDescent="0.3">
      <c r="A85" s="143"/>
      <c r="B85" s="375" t="s">
        <v>167</v>
      </c>
      <c r="C85" s="142" t="s">
        <v>10</v>
      </c>
      <c r="D85" s="36">
        <v>1</v>
      </c>
      <c r="E85" s="42">
        <v>3</v>
      </c>
      <c r="F85" s="223"/>
      <c r="G85" s="235"/>
    </row>
    <row r="86" spans="1:7" x14ac:dyDescent="0.3">
      <c r="A86" s="143"/>
      <c r="B86" s="375" t="s">
        <v>168</v>
      </c>
      <c r="C86" s="142" t="s">
        <v>10</v>
      </c>
      <c r="D86" s="36">
        <v>2</v>
      </c>
      <c r="E86" s="42">
        <v>3</v>
      </c>
      <c r="F86" s="223"/>
      <c r="G86" s="235"/>
    </row>
    <row r="87" spans="1:7" x14ac:dyDescent="0.3">
      <c r="A87" s="143"/>
      <c r="B87" s="25"/>
      <c r="C87" s="397"/>
      <c r="D87" s="9"/>
      <c r="E87" s="10"/>
      <c r="F87" s="209"/>
      <c r="G87" s="235"/>
    </row>
    <row r="88" spans="1:7" x14ac:dyDescent="0.3">
      <c r="A88" s="143"/>
      <c r="B88" s="157" t="s">
        <v>169</v>
      </c>
      <c r="C88" s="397"/>
      <c r="D88" s="9"/>
      <c r="E88" s="10"/>
      <c r="F88" s="209"/>
      <c r="G88" s="235"/>
    </row>
    <row r="89" spans="1:7" x14ac:dyDescent="0.3">
      <c r="A89" s="143"/>
      <c r="B89" s="25" t="s">
        <v>170</v>
      </c>
      <c r="C89" s="142" t="s">
        <v>10</v>
      </c>
      <c r="D89" s="9">
        <v>2</v>
      </c>
      <c r="E89" s="10">
        <v>1</v>
      </c>
      <c r="F89" s="209">
        <v>3500000</v>
      </c>
      <c r="G89" s="235"/>
    </row>
    <row r="90" spans="1:7" x14ac:dyDescent="0.3">
      <c r="A90" s="143"/>
      <c r="B90" s="25"/>
      <c r="C90" s="397"/>
      <c r="D90" s="9"/>
      <c r="E90" s="10"/>
      <c r="F90" s="209"/>
      <c r="G90" s="235"/>
    </row>
    <row r="91" spans="1:7" ht="15" thickBot="1" x14ac:dyDescent="0.35">
      <c r="A91" s="162"/>
      <c r="B91" s="11"/>
      <c r="C91" s="399"/>
      <c r="D91" s="9"/>
      <c r="E91" s="10"/>
      <c r="F91" s="209"/>
      <c r="G91" s="235"/>
    </row>
    <row r="92" spans="1:7" ht="15" thickBot="1" x14ac:dyDescent="0.35">
      <c r="A92" s="15"/>
      <c r="B92" s="12"/>
      <c r="C92" s="411"/>
      <c r="D92" s="12"/>
      <c r="E92" s="12"/>
      <c r="F92" s="13"/>
      <c r="G92" s="14">
        <f>SUM(G24:G91)</f>
        <v>334275000</v>
      </c>
    </row>
    <row r="93" spans="1:7" x14ac:dyDescent="0.3">
      <c r="A93" s="381"/>
      <c r="B93" s="27" t="s">
        <v>11</v>
      </c>
      <c r="C93" s="412"/>
      <c r="D93" s="17"/>
      <c r="E93" s="17"/>
      <c r="F93" s="18"/>
      <c r="G93" s="19">
        <f>+G92</f>
        <v>334275000</v>
      </c>
    </row>
    <row r="94" spans="1:7" x14ac:dyDescent="0.3">
      <c r="A94" s="382"/>
      <c r="B94" s="28" t="s">
        <v>43</v>
      </c>
      <c r="C94" s="291"/>
      <c r="D94" s="22"/>
      <c r="E94" s="22"/>
      <c r="F94" s="23"/>
      <c r="G94" s="24">
        <f>+G93*10%</f>
        <v>33427500</v>
      </c>
    </row>
    <row r="95" spans="1:7" x14ac:dyDescent="0.3">
      <c r="A95" s="382"/>
      <c r="B95" s="348" t="s">
        <v>44</v>
      </c>
      <c r="C95" s="326"/>
      <c r="D95" s="163"/>
      <c r="E95" s="163"/>
      <c r="F95" s="349"/>
      <c r="G95" s="164">
        <f>+G93+G94</f>
        <v>367702500</v>
      </c>
    </row>
    <row r="96" spans="1:7" x14ac:dyDescent="0.3">
      <c r="A96" s="382"/>
      <c r="B96" s="348" t="s">
        <v>219</v>
      </c>
      <c r="C96" s="326"/>
      <c r="D96" s="163"/>
      <c r="E96" s="163"/>
      <c r="F96" s="349"/>
      <c r="G96" s="164">
        <f>+G95*11%</f>
        <v>40447275</v>
      </c>
    </row>
    <row r="97" spans="1:9" ht="15" thickBot="1" x14ac:dyDescent="0.35">
      <c r="A97" s="383"/>
      <c r="B97" s="384" t="s">
        <v>12</v>
      </c>
      <c r="C97" s="413"/>
      <c r="D97" s="385"/>
      <c r="E97" s="385"/>
      <c r="F97" s="386"/>
      <c r="G97" s="387">
        <f>+G95+G96</f>
        <v>408149775</v>
      </c>
    </row>
    <row r="99" spans="1:9" x14ac:dyDescent="0.3">
      <c r="I99" s="166"/>
    </row>
    <row r="100" spans="1:9" ht="15.6" x14ac:dyDescent="0.3">
      <c r="A100" s="320" t="s">
        <v>202</v>
      </c>
      <c r="B100" s="320"/>
      <c r="C100" s="270"/>
      <c r="D100" s="249"/>
    </row>
    <row r="101" spans="1:9" ht="15.6" x14ac:dyDescent="0.3">
      <c r="A101" s="270">
        <v>1</v>
      </c>
      <c r="B101" s="321" t="s">
        <v>203</v>
      </c>
      <c r="C101" s="402"/>
      <c r="D101" s="249"/>
    </row>
    <row r="102" spans="1:9" ht="15.6" x14ac:dyDescent="0.3">
      <c r="A102" s="270">
        <v>2</v>
      </c>
      <c r="B102" s="321" t="s">
        <v>204</v>
      </c>
      <c r="C102" s="402"/>
      <c r="D102" s="249"/>
    </row>
    <row r="103" spans="1:9" ht="15.6" x14ac:dyDescent="0.3">
      <c r="A103" s="270">
        <v>3</v>
      </c>
      <c r="B103" s="321" t="s">
        <v>205</v>
      </c>
      <c r="C103" s="402"/>
      <c r="D103" s="249"/>
    </row>
    <row r="104" spans="1:9" ht="15.6" x14ac:dyDescent="0.3">
      <c r="A104" s="270">
        <v>4</v>
      </c>
      <c r="B104" s="322" t="s">
        <v>206</v>
      </c>
      <c r="C104" s="402"/>
      <c r="D104" s="249"/>
    </row>
    <row r="105" spans="1:9" ht="15.6" x14ac:dyDescent="0.3">
      <c r="A105" s="270"/>
      <c r="B105" s="323" t="s">
        <v>207</v>
      </c>
      <c r="C105" s="402"/>
      <c r="D105" s="249"/>
    </row>
    <row r="106" spans="1:9" ht="15.6" x14ac:dyDescent="0.3">
      <c r="A106" s="270"/>
      <c r="B106" s="322" t="s">
        <v>208</v>
      </c>
      <c r="C106" s="402"/>
      <c r="D106" s="249"/>
    </row>
    <row r="107" spans="1:9" ht="15.6" x14ac:dyDescent="0.3">
      <c r="A107" s="270"/>
      <c r="B107" s="321" t="s">
        <v>209</v>
      </c>
      <c r="C107" s="402"/>
      <c r="D107" s="249"/>
    </row>
    <row r="108" spans="1:9" ht="15.6" x14ac:dyDescent="0.3">
      <c r="A108" s="270"/>
      <c r="B108" s="321" t="s">
        <v>210</v>
      </c>
      <c r="C108" s="402"/>
      <c r="D108" s="249"/>
    </row>
    <row r="109" spans="1:9" ht="15.6" x14ac:dyDescent="0.3">
      <c r="A109" s="270"/>
      <c r="B109" s="321" t="s">
        <v>211</v>
      </c>
      <c r="C109" s="402"/>
      <c r="D109" s="249"/>
    </row>
    <row r="110" spans="1:9" ht="15.6" x14ac:dyDescent="0.3">
      <c r="A110" s="270"/>
      <c r="B110" s="322" t="s">
        <v>212</v>
      </c>
      <c r="C110" s="402"/>
      <c r="D110" s="249"/>
    </row>
    <row r="111" spans="1:9" x14ac:dyDescent="0.3">
      <c r="D111" s="249"/>
    </row>
    <row r="112" spans="1:9" ht="15.6" x14ac:dyDescent="0.3">
      <c r="B112" s="322" t="s">
        <v>213</v>
      </c>
      <c r="C112" s="402"/>
      <c r="D112" s="322"/>
      <c r="E112" s="330"/>
      <c r="F112" s="331" t="s">
        <v>214</v>
      </c>
      <c r="G112" s="330"/>
      <c r="I112" s="332"/>
    </row>
    <row r="113" spans="2:9" ht="15.6" x14ac:dyDescent="0.3">
      <c r="B113" s="323"/>
      <c r="C113" s="402"/>
      <c r="D113" s="323"/>
      <c r="E113" s="330"/>
      <c r="F113" s="333"/>
      <c r="G113" s="330"/>
      <c r="I113" s="332"/>
    </row>
    <row r="114" spans="2:9" ht="15.6" x14ac:dyDescent="0.3">
      <c r="B114" s="334"/>
      <c r="C114" s="403"/>
      <c r="D114" s="334"/>
      <c r="E114" s="335"/>
      <c r="F114" s="333"/>
      <c r="G114" s="330"/>
      <c r="I114" s="332"/>
    </row>
    <row r="115" spans="2:9" ht="15.6" x14ac:dyDescent="0.3">
      <c r="B115" s="334"/>
      <c r="C115" s="403"/>
      <c r="D115" s="334"/>
      <c r="E115" s="335"/>
      <c r="F115" s="333"/>
      <c r="G115" s="330"/>
      <c r="I115" s="332"/>
    </row>
    <row r="116" spans="2:9" ht="15.6" x14ac:dyDescent="0.3">
      <c r="B116" s="334"/>
      <c r="C116" s="403"/>
      <c r="D116" s="334"/>
      <c r="E116" s="335"/>
      <c r="F116" s="333"/>
      <c r="G116" s="330"/>
      <c r="I116" s="332"/>
    </row>
    <row r="117" spans="2:9" ht="15.6" x14ac:dyDescent="0.3">
      <c r="B117" s="272"/>
      <c r="C117" s="404"/>
      <c r="D117" s="272"/>
      <c r="E117" s="335"/>
      <c r="F117" s="333"/>
      <c r="G117" s="330"/>
      <c r="I117" s="332"/>
    </row>
    <row r="118" spans="2:9" ht="15.6" x14ac:dyDescent="0.3">
      <c r="B118" s="334"/>
      <c r="C118" s="403"/>
      <c r="D118" s="334"/>
      <c r="E118" s="335"/>
      <c r="F118" s="333"/>
      <c r="G118" s="335"/>
      <c r="I118" s="332"/>
    </row>
    <row r="119" spans="2:9" ht="15.6" x14ac:dyDescent="0.3">
      <c r="B119" s="336" t="s">
        <v>215</v>
      </c>
      <c r="C119" s="414"/>
      <c r="D119" s="336"/>
      <c r="E119" s="335"/>
      <c r="F119" s="337" t="s">
        <v>216</v>
      </c>
      <c r="G119" s="335"/>
      <c r="I119" s="338"/>
    </row>
    <row r="120" spans="2:9" ht="15.6" x14ac:dyDescent="0.3">
      <c r="B120" s="339" t="s">
        <v>217</v>
      </c>
      <c r="C120" s="414"/>
      <c r="D120" s="339"/>
      <c r="E120" s="335"/>
      <c r="F120" s="337" t="s">
        <v>218</v>
      </c>
      <c r="G120" s="335"/>
      <c r="I120" s="338"/>
    </row>
    <row r="121" spans="2:9" x14ac:dyDescent="0.3">
      <c r="E121" s="249"/>
    </row>
    <row r="122" spans="2:9" x14ac:dyDescent="0.3">
      <c r="E122" s="249"/>
    </row>
    <row r="123" spans="2:9" x14ac:dyDescent="0.3">
      <c r="E123" s="249"/>
    </row>
    <row r="124" spans="2:9" x14ac:dyDescent="0.3">
      <c r="E124" s="249"/>
    </row>
    <row r="125" spans="2:9" x14ac:dyDescent="0.3">
      <c r="E125" s="249"/>
    </row>
    <row r="126" spans="2:9" x14ac:dyDescent="0.3">
      <c r="E126" s="249"/>
    </row>
    <row r="127" spans="2:9" x14ac:dyDescent="0.3">
      <c r="E127" s="249"/>
    </row>
    <row r="128" spans="2:9" x14ac:dyDescent="0.3">
      <c r="E128" s="249"/>
    </row>
    <row r="129" spans="5:5" x14ac:dyDescent="0.3">
      <c r="E129" s="249"/>
    </row>
    <row r="130" spans="5:5" x14ac:dyDescent="0.3">
      <c r="E130" s="249"/>
    </row>
    <row r="131" spans="5:5" x14ac:dyDescent="0.3">
      <c r="E131" s="249"/>
    </row>
  </sheetData>
  <mergeCells count="2">
    <mergeCell ref="F22:G22"/>
    <mergeCell ref="H7:I7"/>
  </mergeCells>
  <pageMargins left="0.70866141732283472" right="0.70866141732283472" top="0.74803149606299213" bottom="0.74803149606299213" header="0.31496062992125984" footer="0.31496062992125984"/>
  <pageSetup paperSize="9" scale="3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8F43-A1B3-48EB-9622-59BFD9299E8F}">
  <sheetPr>
    <tabColor rgb="FFFF0000"/>
    <pageSetUpPr fitToPage="1"/>
  </sheetPr>
  <dimension ref="B2:E14"/>
  <sheetViews>
    <sheetView workbookViewId="0">
      <selection activeCell="E32" sqref="E32"/>
    </sheetView>
  </sheetViews>
  <sheetFormatPr defaultRowHeight="14.4" x14ac:dyDescent="0.3"/>
  <cols>
    <col min="1" max="1" width="3.44140625" customWidth="1"/>
    <col min="2" max="2" width="18.109375" customWidth="1"/>
    <col min="3" max="3" width="18.33203125" customWidth="1"/>
    <col min="4" max="4" width="17.109375" bestFit="1" customWidth="1"/>
    <col min="5" max="5" width="17.88671875" customWidth="1"/>
  </cols>
  <sheetData>
    <row r="2" spans="2:5" ht="17.399999999999999" customHeight="1" x14ac:dyDescent="0.3">
      <c r="E2" s="249"/>
    </row>
    <row r="6" spans="2:5" ht="15.6" x14ac:dyDescent="0.3">
      <c r="B6" s="250" t="s">
        <v>171</v>
      </c>
      <c r="C6" s="250" t="s">
        <v>172</v>
      </c>
      <c r="D6" s="250" t="s">
        <v>173</v>
      </c>
      <c r="E6" s="251" t="s">
        <v>12</v>
      </c>
    </row>
    <row r="7" spans="2:5" ht="15.6" x14ac:dyDescent="0.3">
      <c r="B7" s="483" t="s">
        <v>251</v>
      </c>
      <c r="C7" s="245">
        <f>'KOL SocMed '!F39</f>
        <v>31000000</v>
      </c>
      <c r="D7" s="245">
        <f>'KOL SocMed '!F40</f>
        <v>0</v>
      </c>
      <c r="E7" s="484">
        <f t="shared" ref="E7:E12" si="0">+C7+D7</f>
        <v>31000000</v>
      </c>
    </row>
    <row r="8" spans="2:5" ht="15.6" x14ac:dyDescent="0.3">
      <c r="B8" s="244" t="s">
        <v>174</v>
      </c>
      <c r="C8" s="245">
        <f>'PR Package BEM'!G79</f>
        <v>45000000</v>
      </c>
      <c r="D8" s="245">
        <f>C8*10%</f>
        <v>4500000</v>
      </c>
      <c r="E8" s="484">
        <f t="shared" si="0"/>
        <v>49500000</v>
      </c>
    </row>
    <row r="9" spans="2:5" ht="15.6" x14ac:dyDescent="0.3">
      <c r="B9" s="244" t="s">
        <v>27</v>
      </c>
      <c r="C9" s="245">
        <f>Registration!G33</f>
        <v>8000000</v>
      </c>
      <c r="D9" s="245">
        <f t="shared" ref="D9:D12" si="1">C9*10%</f>
        <v>800000</v>
      </c>
      <c r="E9" s="484">
        <f t="shared" si="0"/>
        <v>8800000</v>
      </c>
    </row>
    <row r="10" spans="2:5" ht="15.6" x14ac:dyDescent="0.3">
      <c r="B10" s="244" t="s">
        <v>7</v>
      </c>
      <c r="C10" s="245">
        <f>'Customer Event'!G107</f>
        <v>151076922</v>
      </c>
      <c r="D10" s="245">
        <f t="shared" si="1"/>
        <v>15107692.200000001</v>
      </c>
      <c r="E10" s="484">
        <f t="shared" si="0"/>
        <v>166184614.19999999</v>
      </c>
    </row>
    <row r="11" spans="2:5" ht="15.6" x14ac:dyDescent="0.3">
      <c r="B11" s="244" t="s">
        <v>175</v>
      </c>
      <c r="C11" s="245">
        <f>'Partner Event'!G67</f>
        <v>22500000</v>
      </c>
      <c r="D11" s="245">
        <f t="shared" si="1"/>
        <v>2250000</v>
      </c>
      <c r="E11" s="484">
        <f t="shared" si="0"/>
        <v>24750000</v>
      </c>
    </row>
    <row r="12" spans="2:5" ht="15.6" x14ac:dyDescent="0.3">
      <c r="B12" s="244" t="s">
        <v>176</v>
      </c>
      <c r="C12" s="245">
        <f>Booth!H130</f>
        <v>0</v>
      </c>
      <c r="D12" s="245">
        <f t="shared" si="1"/>
        <v>0</v>
      </c>
      <c r="E12" s="484">
        <f t="shared" si="0"/>
        <v>0</v>
      </c>
    </row>
    <row r="13" spans="2:5" ht="15.6" x14ac:dyDescent="0.3">
      <c r="B13" s="244"/>
      <c r="C13" s="245"/>
      <c r="D13" s="245"/>
      <c r="E13" s="484"/>
    </row>
    <row r="14" spans="2:5" x14ac:dyDescent="0.3">
      <c r="B14" s="247"/>
      <c r="C14" s="248"/>
      <c r="D14" s="248"/>
      <c r="E14" s="246">
        <f>SUM(E7:E13)</f>
        <v>280234614.19999999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KOL SocMed </vt:lpstr>
      <vt:lpstr>PR Package BEM</vt:lpstr>
      <vt:lpstr>Registration</vt:lpstr>
      <vt:lpstr>Customer Event</vt:lpstr>
      <vt:lpstr>Partner Event</vt:lpstr>
      <vt:lpstr>Booth</vt:lpstr>
      <vt:lpstr>Hackathon</vt:lpstr>
      <vt:lpstr>Summary</vt:lpstr>
      <vt:lpstr>Booth!Print_Area</vt:lpstr>
      <vt:lpstr>'Customer Event'!Print_Area</vt:lpstr>
      <vt:lpstr>Hackathon!Print_Area</vt:lpstr>
      <vt:lpstr>'KOL SocMed '!Print_Area</vt:lpstr>
      <vt:lpstr>'Partner Event'!Print_Area</vt:lpstr>
      <vt:lpstr>'PR Package BEM'!Print_Area</vt:lpstr>
      <vt:lpstr>Registration!Print_Area</vt:lpstr>
      <vt:lpstr>Summary!Print_Area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Laurencia, Laurencia</dc:creator>
  <cp:keywords/>
  <dc:description/>
  <cp:lastModifiedBy>Produksi KIM</cp:lastModifiedBy>
  <cp:revision/>
  <cp:lastPrinted>2025-11-14T09:16:03Z</cp:lastPrinted>
  <dcterms:created xsi:type="dcterms:W3CDTF">2025-09-06T16:12:11Z</dcterms:created>
  <dcterms:modified xsi:type="dcterms:W3CDTF">2026-02-20T13:08:00Z</dcterms:modified>
  <cp:category/>
  <cp:contentStatus/>
</cp:coreProperties>
</file>